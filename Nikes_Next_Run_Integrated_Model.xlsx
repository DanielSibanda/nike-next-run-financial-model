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ny\Desktop\"/>
    </mc:Choice>
  </mc:AlternateContent>
  <xr:revisionPtr revIDLastSave="0" documentId="8_{4C3122E1-701F-4E1A-9482-596FB1E1A18B}" xr6:coauthVersionLast="47" xr6:coauthVersionMax="47" xr10:uidLastSave="{00000000-0000-0000-0000-000000000000}"/>
  <bookViews>
    <workbookView xWindow="-110" yWindow="-110" windowWidth="19420" windowHeight="10420" activeTab="1" xr2:uid="{00000000-000D-0000-FFFF-FFFF00000000}"/>
  </bookViews>
  <sheets>
    <sheet name="Cover" sheetId="1" r:id="rId1"/>
    <sheet name="Dashboard" sheetId="2" r:id="rId2"/>
    <sheet name="Inputs" sheetId="3" r:id="rId3"/>
    <sheet name="Model"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4" l="1"/>
  <c r="E265" i="4"/>
  <c r="D265" i="4"/>
  <c r="I246" i="4"/>
  <c r="H246" i="4"/>
  <c r="G246" i="4"/>
  <c r="F246" i="4"/>
  <c r="E246" i="4"/>
  <c r="I241" i="4"/>
  <c r="H241" i="4"/>
  <c r="G241" i="4"/>
  <c r="F241" i="4"/>
  <c r="E241" i="4"/>
  <c r="I240" i="4"/>
  <c r="H240" i="4"/>
  <c r="G240" i="4"/>
  <c r="F240" i="4"/>
  <c r="E240" i="4"/>
  <c r="I239" i="4"/>
  <c r="H239" i="4"/>
  <c r="G239" i="4"/>
  <c r="F239" i="4"/>
  <c r="E239" i="4"/>
  <c r="I238" i="4"/>
  <c r="H238" i="4"/>
  <c r="G238" i="4"/>
  <c r="F238" i="4"/>
  <c r="E238" i="4"/>
  <c r="N229" i="4"/>
  <c r="M229" i="4"/>
  <c r="L229" i="4"/>
  <c r="K229" i="4"/>
  <c r="J229" i="4"/>
  <c r="N227" i="4"/>
  <c r="M227" i="4"/>
  <c r="L227" i="4"/>
  <c r="K227" i="4"/>
  <c r="J227" i="4"/>
  <c r="J225" i="4"/>
  <c r="I224" i="4"/>
  <c r="H224" i="4"/>
  <c r="G224" i="4"/>
  <c r="F224" i="4"/>
  <c r="E224" i="4"/>
  <c r="N215" i="4"/>
  <c r="J197" i="4"/>
  <c r="I197" i="4"/>
  <c r="H197" i="4"/>
  <c r="G197" i="4"/>
  <c r="F197" i="4"/>
  <c r="E197" i="4"/>
  <c r="D197" i="4"/>
  <c r="M185" i="4"/>
  <c r="L185" i="4"/>
  <c r="K185" i="4"/>
  <c r="J185" i="4"/>
  <c r="I185" i="4"/>
  <c r="I184" i="4"/>
  <c r="I183" i="4"/>
  <c r="I182" i="4"/>
  <c r="I181" i="4"/>
  <c r="N180" i="4"/>
  <c r="M180" i="4"/>
  <c r="L180" i="4"/>
  <c r="K180" i="4"/>
  <c r="J180" i="4"/>
  <c r="I180" i="4"/>
  <c r="I186" i="4" s="1"/>
  <c r="N179" i="4"/>
  <c r="M179" i="4"/>
  <c r="L179" i="4"/>
  <c r="K179" i="4"/>
  <c r="J179" i="4"/>
  <c r="I179" i="4"/>
  <c r="N161" i="4"/>
  <c r="E148" i="4"/>
  <c r="E147" i="4"/>
  <c r="I135" i="4"/>
  <c r="I136" i="4" s="1"/>
  <c r="H135" i="4"/>
  <c r="H136" i="4" s="1"/>
  <c r="G135" i="4"/>
  <c r="G136" i="4" s="1"/>
  <c r="F135" i="4"/>
  <c r="F136" i="4" s="1"/>
  <c r="E135" i="4"/>
  <c r="E136" i="4" s="1"/>
  <c r="I134" i="4"/>
  <c r="H134" i="4"/>
  <c r="G134" i="4"/>
  <c r="F134" i="4"/>
  <c r="E134" i="4"/>
  <c r="N133" i="4"/>
  <c r="M133" i="4"/>
  <c r="L133" i="4"/>
  <c r="K133" i="4"/>
  <c r="J133" i="4"/>
  <c r="I133" i="4"/>
  <c r="H133" i="4"/>
  <c r="G133" i="4"/>
  <c r="F133" i="4"/>
  <c r="E133" i="4"/>
  <c r="I132" i="4"/>
  <c r="H132" i="4"/>
  <c r="G132" i="4"/>
  <c r="F132" i="4"/>
  <c r="E132" i="4"/>
  <c r="I131" i="4"/>
  <c r="H131" i="4"/>
  <c r="G131" i="4"/>
  <c r="F131" i="4"/>
  <c r="E131" i="4"/>
  <c r="I130" i="4"/>
  <c r="H130" i="4"/>
  <c r="G130" i="4"/>
  <c r="F130" i="4"/>
  <c r="E130" i="4"/>
  <c r="I129" i="4"/>
  <c r="H129" i="4"/>
  <c r="G129" i="4"/>
  <c r="F129" i="4"/>
  <c r="E129" i="4"/>
  <c r="I128" i="4"/>
  <c r="H128" i="4"/>
  <c r="G128" i="4"/>
  <c r="F128" i="4"/>
  <c r="E128" i="4"/>
  <c r="I126" i="4"/>
  <c r="H126" i="4"/>
  <c r="G126" i="4"/>
  <c r="F126" i="4"/>
  <c r="E126" i="4"/>
  <c r="I124" i="4"/>
  <c r="I125" i="4" s="1"/>
  <c r="H124" i="4"/>
  <c r="H125" i="4" s="1"/>
  <c r="G124" i="4"/>
  <c r="G125" i="4" s="1"/>
  <c r="F124" i="4"/>
  <c r="F125" i="4" s="1"/>
  <c r="E124" i="4"/>
  <c r="E125" i="4" s="1"/>
  <c r="I122" i="4"/>
  <c r="H122" i="4"/>
  <c r="G122" i="4"/>
  <c r="F122" i="4"/>
  <c r="E122" i="4"/>
  <c r="N121" i="4"/>
  <c r="M121" i="4"/>
  <c r="L121" i="4"/>
  <c r="K121" i="4"/>
  <c r="J121" i="4"/>
  <c r="I120" i="4"/>
  <c r="H120" i="4"/>
  <c r="G120" i="4"/>
  <c r="F120" i="4"/>
  <c r="E120" i="4"/>
  <c r="I119" i="4"/>
  <c r="H119" i="4"/>
  <c r="G119" i="4"/>
  <c r="F119" i="4"/>
  <c r="E119" i="4"/>
  <c r="I118" i="4"/>
  <c r="H118" i="4"/>
  <c r="G118" i="4"/>
  <c r="F118" i="4"/>
  <c r="E118" i="4"/>
  <c r="I117" i="4"/>
  <c r="H117" i="4"/>
  <c r="G117" i="4"/>
  <c r="F117" i="4"/>
  <c r="E117" i="4"/>
  <c r="I116" i="4"/>
  <c r="H116" i="4"/>
  <c r="G116" i="4"/>
  <c r="F116" i="4"/>
  <c r="E116" i="4"/>
  <c r="N115" i="4"/>
  <c r="M115" i="4"/>
  <c r="L115" i="4"/>
  <c r="K115" i="4"/>
  <c r="J115" i="4"/>
  <c r="I115" i="4"/>
  <c r="H115" i="4"/>
  <c r="G115" i="4"/>
  <c r="F115" i="4"/>
  <c r="E115" i="4"/>
  <c r="N114" i="4"/>
  <c r="M114" i="4"/>
  <c r="L114" i="4"/>
  <c r="K114" i="4"/>
  <c r="J114" i="4"/>
  <c r="I114" i="4"/>
  <c r="H114" i="4"/>
  <c r="G114" i="4"/>
  <c r="F114" i="4"/>
  <c r="E114" i="4"/>
  <c r="I113" i="4"/>
  <c r="I243" i="4" s="1"/>
  <c r="H113" i="4"/>
  <c r="H243" i="4" s="1"/>
  <c r="G113" i="4"/>
  <c r="G243" i="4" s="1"/>
  <c r="F113" i="4"/>
  <c r="F243" i="4" s="1"/>
  <c r="E113" i="4"/>
  <c r="E243" i="4" s="1"/>
  <c r="I112" i="4"/>
  <c r="H112" i="4"/>
  <c r="G112" i="4"/>
  <c r="F112" i="4"/>
  <c r="E112" i="4"/>
  <c r="I111" i="4"/>
  <c r="H111" i="4"/>
  <c r="G111" i="4"/>
  <c r="F111" i="4"/>
  <c r="E111" i="4"/>
  <c r="I110" i="4"/>
  <c r="I121" i="4" s="1"/>
  <c r="H110" i="4"/>
  <c r="H121" i="4" s="1"/>
  <c r="G110" i="4"/>
  <c r="G121" i="4" s="1"/>
  <c r="F110" i="4"/>
  <c r="F121" i="4" s="1"/>
  <c r="E110" i="4"/>
  <c r="E121" i="4" s="1"/>
  <c r="I101" i="4"/>
  <c r="H101" i="4"/>
  <c r="G101" i="4"/>
  <c r="F101" i="4"/>
  <c r="E101" i="4"/>
  <c r="I100" i="4"/>
  <c r="J100" i="4" s="1"/>
  <c r="K100" i="4" s="1"/>
  <c r="L100" i="4" s="1"/>
  <c r="M100" i="4" s="1"/>
  <c r="N100" i="4" s="1"/>
  <c r="H100" i="4"/>
  <c r="G100" i="4"/>
  <c r="F100" i="4"/>
  <c r="E100" i="4"/>
  <c r="I99" i="4"/>
  <c r="H99" i="4"/>
  <c r="G99" i="4"/>
  <c r="F99" i="4"/>
  <c r="E99" i="4"/>
  <c r="I98" i="4"/>
  <c r="H98" i="4"/>
  <c r="H102" i="4" s="1"/>
  <c r="G98" i="4"/>
  <c r="G102" i="4" s="1"/>
  <c r="F98" i="4"/>
  <c r="F102" i="4" s="1"/>
  <c r="E98" i="4"/>
  <c r="E102" i="4" s="1"/>
  <c r="I95" i="4"/>
  <c r="H95" i="4"/>
  <c r="G95" i="4"/>
  <c r="F95" i="4"/>
  <c r="E95" i="4"/>
  <c r="I94" i="4"/>
  <c r="H94" i="4"/>
  <c r="G94" i="4"/>
  <c r="F94" i="4"/>
  <c r="E94" i="4"/>
  <c r="I93" i="4"/>
  <c r="H93" i="4"/>
  <c r="G93" i="4"/>
  <c r="F93" i="4"/>
  <c r="E93" i="4"/>
  <c r="N91" i="4"/>
  <c r="M91" i="4"/>
  <c r="L91" i="4"/>
  <c r="K91" i="4"/>
  <c r="J91" i="4"/>
  <c r="I91" i="4"/>
  <c r="H91" i="4"/>
  <c r="G91" i="4"/>
  <c r="F91" i="4"/>
  <c r="E91" i="4"/>
  <c r="I90" i="4"/>
  <c r="H90" i="4"/>
  <c r="G90" i="4"/>
  <c r="F90" i="4"/>
  <c r="E90" i="4"/>
  <c r="I89" i="4"/>
  <c r="H89" i="4"/>
  <c r="G89" i="4"/>
  <c r="F89" i="4"/>
  <c r="E89" i="4"/>
  <c r="I88" i="4"/>
  <c r="H88" i="4"/>
  <c r="G88" i="4"/>
  <c r="F88" i="4"/>
  <c r="E88" i="4"/>
  <c r="I87" i="4"/>
  <c r="I92" i="4" s="1"/>
  <c r="I96" i="4" s="1"/>
  <c r="H87" i="4"/>
  <c r="H92" i="4" s="1"/>
  <c r="H96" i="4" s="1"/>
  <c r="H103" i="4" s="1"/>
  <c r="G87" i="4"/>
  <c r="G92" i="4" s="1"/>
  <c r="G96" i="4" s="1"/>
  <c r="G103" i="4" s="1"/>
  <c r="F87" i="4"/>
  <c r="F92" i="4" s="1"/>
  <c r="F96" i="4" s="1"/>
  <c r="F103" i="4" s="1"/>
  <c r="E87" i="4"/>
  <c r="E92" i="4" s="1"/>
  <c r="E96" i="4" s="1"/>
  <c r="E103" i="4" s="1"/>
  <c r="I84" i="4"/>
  <c r="H84" i="4"/>
  <c r="G84" i="4"/>
  <c r="F84" i="4"/>
  <c r="E84" i="4"/>
  <c r="I83" i="4"/>
  <c r="J83" i="4" s="1"/>
  <c r="K83" i="4" s="1"/>
  <c r="L83" i="4" s="1"/>
  <c r="M83" i="4" s="1"/>
  <c r="N83" i="4" s="1"/>
  <c r="H83" i="4"/>
  <c r="G83" i="4"/>
  <c r="F83" i="4"/>
  <c r="E83" i="4"/>
  <c r="I82" i="4"/>
  <c r="J82" i="4" s="1"/>
  <c r="K82" i="4" s="1"/>
  <c r="L82" i="4" s="1"/>
  <c r="M82" i="4" s="1"/>
  <c r="N82" i="4" s="1"/>
  <c r="H82" i="4"/>
  <c r="G82" i="4"/>
  <c r="F82" i="4"/>
  <c r="E82" i="4"/>
  <c r="I81" i="4"/>
  <c r="H81" i="4"/>
  <c r="G81" i="4"/>
  <c r="F81" i="4"/>
  <c r="E81" i="4"/>
  <c r="I80" i="4"/>
  <c r="H80" i="4"/>
  <c r="G80" i="4"/>
  <c r="F80" i="4"/>
  <c r="E80" i="4"/>
  <c r="I78" i="4"/>
  <c r="H78" i="4"/>
  <c r="G78" i="4"/>
  <c r="F78" i="4"/>
  <c r="E78" i="4"/>
  <c r="I77" i="4"/>
  <c r="H77" i="4"/>
  <c r="G77" i="4"/>
  <c r="F77" i="4"/>
  <c r="E77" i="4"/>
  <c r="I76" i="4"/>
  <c r="H76" i="4"/>
  <c r="G76" i="4"/>
  <c r="F76" i="4"/>
  <c r="E76" i="4"/>
  <c r="I75" i="4"/>
  <c r="H75" i="4"/>
  <c r="G75" i="4"/>
  <c r="F75" i="4"/>
  <c r="E75" i="4"/>
  <c r="I74" i="4"/>
  <c r="H74" i="4"/>
  <c r="H79" i="4" s="1"/>
  <c r="H85" i="4" s="1"/>
  <c r="H104" i="4" s="1"/>
  <c r="G74" i="4"/>
  <c r="G79" i="4" s="1"/>
  <c r="G85" i="4" s="1"/>
  <c r="G104" i="4" s="1"/>
  <c r="F74" i="4"/>
  <c r="F79" i="4" s="1"/>
  <c r="F85" i="4" s="1"/>
  <c r="F104" i="4" s="1"/>
  <c r="E74" i="4"/>
  <c r="E79" i="4" s="1"/>
  <c r="E85" i="4" s="1"/>
  <c r="E104" i="4" s="1"/>
  <c r="I69" i="4"/>
  <c r="H69" i="4"/>
  <c r="G69" i="4"/>
  <c r="F69" i="4"/>
  <c r="E69" i="4"/>
  <c r="I68" i="4"/>
  <c r="H68" i="4"/>
  <c r="G68" i="4"/>
  <c r="F68" i="4"/>
  <c r="E68" i="4"/>
  <c r="I67" i="4"/>
  <c r="H67" i="4"/>
  <c r="G67" i="4"/>
  <c r="F67" i="4"/>
  <c r="E67" i="4"/>
  <c r="I66" i="4"/>
  <c r="H66" i="4"/>
  <c r="G66" i="4"/>
  <c r="F66" i="4"/>
  <c r="E66" i="4"/>
  <c r="J65" i="4"/>
  <c r="I65" i="4"/>
  <c r="H65" i="4"/>
  <c r="G65" i="4"/>
  <c r="F65" i="4"/>
  <c r="E65" i="4"/>
  <c r="I63" i="4"/>
  <c r="H63" i="4"/>
  <c r="G63" i="4"/>
  <c r="F63" i="4"/>
  <c r="E63" i="4"/>
  <c r="I62" i="4"/>
  <c r="H62" i="4"/>
  <c r="G62" i="4"/>
  <c r="F62" i="4"/>
  <c r="E62" i="4"/>
  <c r="I61" i="4"/>
  <c r="H61" i="4"/>
  <c r="G61" i="4"/>
  <c r="F61" i="4"/>
  <c r="E61" i="4"/>
  <c r="J60" i="4"/>
  <c r="I60" i="4"/>
  <c r="H60" i="4"/>
  <c r="G60" i="4"/>
  <c r="F60" i="4"/>
  <c r="E60" i="4"/>
  <c r="I58" i="4"/>
  <c r="H58" i="4"/>
  <c r="G58" i="4"/>
  <c r="F58" i="4"/>
  <c r="E58" i="4"/>
  <c r="I57" i="4"/>
  <c r="H57" i="4"/>
  <c r="G57" i="4"/>
  <c r="F57" i="4"/>
  <c r="E57" i="4"/>
  <c r="J56" i="4"/>
  <c r="I56" i="4"/>
  <c r="H56" i="4"/>
  <c r="G56" i="4"/>
  <c r="F56" i="4"/>
  <c r="E56" i="4"/>
  <c r="I54" i="4"/>
  <c r="H54" i="4"/>
  <c r="G54" i="4"/>
  <c r="F54" i="4"/>
  <c r="E54" i="4"/>
  <c r="I53" i="4"/>
  <c r="H53" i="4"/>
  <c r="G53" i="4"/>
  <c r="F53" i="4"/>
  <c r="E53" i="4"/>
  <c r="I52" i="4"/>
  <c r="I146" i="4" s="1"/>
  <c r="H52" i="4"/>
  <c r="H146" i="4" s="1"/>
  <c r="G52" i="4"/>
  <c r="G146" i="4" s="1"/>
  <c r="F52" i="4"/>
  <c r="F146" i="4" s="1"/>
  <c r="E52" i="4"/>
  <c r="E146" i="4" s="1"/>
  <c r="J51" i="4"/>
  <c r="I51" i="4"/>
  <c r="H51" i="4"/>
  <c r="G51" i="4"/>
  <c r="F51" i="4"/>
  <c r="E51" i="4"/>
  <c r="E46" i="4"/>
  <c r="I44" i="4"/>
  <c r="H44" i="4"/>
  <c r="G44" i="4"/>
  <c r="F44" i="4"/>
  <c r="E44" i="4"/>
  <c r="I43" i="4"/>
  <c r="H43" i="4"/>
  <c r="G43" i="4"/>
  <c r="F43" i="4"/>
  <c r="E43" i="4"/>
  <c r="I42" i="4"/>
  <c r="H42" i="4"/>
  <c r="G42" i="4"/>
  <c r="F42" i="4"/>
  <c r="E42" i="4"/>
  <c r="I41" i="4"/>
  <c r="H41" i="4"/>
  <c r="G41" i="4"/>
  <c r="F41" i="4"/>
  <c r="E41" i="4"/>
  <c r="I40" i="4"/>
  <c r="H40" i="4"/>
  <c r="G40" i="4"/>
  <c r="F40" i="4"/>
  <c r="E40" i="4"/>
  <c r="I39" i="4"/>
  <c r="I45" i="4" s="1"/>
  <c r="H39" i="4"/>
  <c r="H45" i="4" s="1"/>
  <c r="G39" i="4"/>
  <c r="G45" i="4" s="1"/>
  <c r="F39" i="4"/>
  <c r="F45" i="4" s="1"/>
  <c r="E39" i="4"/>
  <c r="E45" i="4" s="1"/>
  <c r="I30" i="4"/>
  <c r="D24" i="2" s="1"/>
  <c r="H30" i="4"/>
  <c r="G30" i="4"/>
  <c r="F30" i="4"/>
  <c r="E30" i="4"/>
  <c r="I29" i="4"/>
  <c r="I223" i="4" s="1"/>
  <c r="H29" i="4"/>
  <c r="H223" i="4" s="1"/>
  <c r="G29" i="4"/>
  <c r="G223" i="4" s="1"/>
  <c r="F29" i="4"/>
  <c r="F223" i="4" s="1"/>
  <c r="E29" i="4"/>
  <c r="E223" i="4" s="1"/>
  <c r="I28" i="4"/>
  <c r="H28" i="4"/>
  <c r="G28" i="4"/>
  <c r="F28" i="4"/>
  <c r="E28" i="4"/>
  <c r="I26" i="4"/>
  <c r="H26" i="4"/>
  <c r="G26" i="4"/>
  <c r="F26" i="4"/>
  <c r="E26" i="4"/>
  <c r="I25" i="4"/>
  <c r="I236" i="4" s="1"/>
  <c r="H25" i="4"/>
  <c r="H236" i="4" s="1"/>
  <c r="G25" i="4"/>
  <c r="G236" i="4" s="1"/>
  <c r="F25" i="4"/>
  <c r="F236" i="4" s="1"/>
  <c r="E25" i="4"/>
  <c r="E236" i="4" s="1"/>
  <c r="N24" i="4"/>
  <c r="M24" i="4"/>
  <c r="L24" i="4"/>
  <c r="K24" i="4"/>
  <c r="J24" i="4"/>
  <c r="I24" i="4"/>
  <c r="H24" i="4"/>
  <c r="G24" i="4"/>
  <c r="F24" i="4"/>
  <c r="E24" i="4"/>
  <c r="J23" i="4"/>
  <c r="I23" i="4"/>
  <c r="H23" i="4"/>
  <c r="G23" i="4"/>
  <c r="F23" i="4"/>
  <c r="E23" i="4"/>
  <c r="I20" i="4"/>
  <c r="H20" i="4"/>
  <c r="G20" i="4"/>
  <c r="F20" i="4"/>
  <c r="E20" i="4"/>
  <c r="I19" i="4"/>
  <c r="H19" i="4"/>
  <c r="G19" i="4"/>
  <c r="F19" i="4"/>
  <c r="E19" i="4"/>
  <c r="I18" i="4"/>
  <c r="H18" i="4"/>
  <c r="H21" i="4" s="1"/>
  <c r="G18" i="4"/>
  <c r="G21" i="4" s="1"/>
  <c r="F18" i="4"/>
  <c r="F21" i="4" s="1"/>
  <c r="E18" i="4"/>
  <c r="E21" i="4" s="1"/>
  <c r="I17" i="4"/>
  <c r="H17" i="4"/>
  <c r="G17" i="4"/>
  <c r="F17" i="4"/>
  <c r="E17" i="4"/>
  <c r="I16" i="4"/>
  <c r="H16" i="4"/>
  <c r="H35" i="4" s="1"/>
  <c r="G16" i="4"/>
  <c r="G35" i="4" s="1"/>
  <c r="F16" i="4"/>
  <c r="F35" i="4" s="1"/>
  <c r="E16" i="4"/>
  <c r="I14" i="4"/>
  <c r="H14" i="4"/>
  <c r="G14" i="4"/>
  <c r="F14" i="4"/>
  <c r="E14" i="4"/>
  <c r="I13" i="4"/>
  <c r="H13" i="4"/>
  <c r="G13" i="4"/>
  <c r="F13" i="4"/>
  <c r="E13" i="4"/>
  <c r="I12" i="4"/>
  <c r="H12" i="4"/>
  <c r="G12" i="4"/>
  <c r="F12" i="4"/>
  <c r="E12" i="4"/>
  <c r="I11" i="4"/>
  <c r="H11" i="4"/>
  <c r="G11" i="4"/>
  <c r="F11" i="4"/>
  <c r="E11" i="4"/>
  <c r="I365" i="3"/>
  <c r="G365" i="3"/>
  <c r="I364" i="3"/>
  <c r="G364" i="3"/>
  <c r="I363" i="3"/>
  <c r="G363" i="3"/>
  <c r="I362" i="3"/>
  <c r="G362" i="3"/>
  <c r="I361" i="3"/>
  <c r="G361"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E301" i="3"/>
  <c r="G301" i="3" s="1"/>
  <c r="H301" i="3" s="1"/>
  <c r="E300" i="3"/>
  <c r="G300" i="3" s="1"/>
  <c r="H300" i="3" s="1"/>
  <c r="E299" i="3"/>
  <c r="G299" i="3" s="1"/>
  <c r="H299" i="3" s="1"/>
  <c r="E298" i="3"/>
  <c r="G298" i="3" s="1"/>
  <c r="H298" i="3" s="1"/>
  <c r="E297" i="3"/>
  <c r="G297" i="3" s="1"/>
  <c r="H297" i="3" s="1"/>
  <c r="E296" i="3"/>
  <c r="G296" i="3" s="1"/>
  <c r="H296" i="3" s="1"/>
  <c r="E295" i="3"/>
  <c r="G295" i="3" s="1"/>
  <c r="H295" i="3" s="1"/>
  <c r="E294" i="3"/>
  <c r="G294" i="3" s="1"/>
  <c r="H294" i="3" s="1"/>
  <c r="E293" i="3"/>
  <c r="G293" i="3" s="1"/>
  <c r="H293" i="3" s="1"/>
  <c r="E292" i="3"/>
  <c r="G292" i="3" s="1"/>
  <c r="H292" i="3" s="1"/>
  <c r="E291" i="3"/>
  <c r="G291" i="3" s="1"/>
  <c r="H291" i="3" s="1"/>
  <c r="E290" i="3"/>
  <c r="G290" i="3" s="1"/>
  <c r="H290" i="3" s="1"/>
  <c r="E289" i="3"/>
  <c r="G289" i="3" s="1"/>
  <c r="H289" i="3" s="1"/>
  <c r="E288" i="3"/>
  <c r="G288" i="3" s="1"/>
  <c r="H288" i="3" s="1"/>
  <c r="E287" i="3"/>
  <c r="G287" i="3" s="1"/>
  <c r="H287" i="3" s="1"/>
  <c r="E286" i="3"/>
  <c r="G286" i="3" s="1"/>
  <c r="H286" i="3" s="1"/>
  <c r="E285" i="3"/>
  <c r="G285" i="3" s="1"/>
  <c r="H285" i="3" s="1"/>
  <c r="E284" i="3"/>
  <c r="G284" i="3" s="1"/>
  <c r="H284" i="3" s="1"/>
  <c r="E283" i="3"/>
  <c r="G283" i="3" s="1"/>
  <c r="H283" i="3" s="1"/>
  <c r="E282" i="3"/>
  <c r="G282" i="3" s="1"/>
  <c r="H282" i="3" s="1"/>
  <c r="E281" i="3"/>
  <c r="G281" i="3" s="1"/>
  <c r="H281" i="3" s="1"/>
  <c r="E280" i="3"/>
  <c r="G280" i="3" s="1"/>
  <c r="H280" i="3" s="1"/>
  <c r="E279" i="3"/>
  <c r="G279" i="3" s="1"/>
  <c r="H279" i="3" s="1"/>
  <c r="E278" i="3"/>
  <c r="G278" i="3" s="1"/>
  <c r="H278" i="3" s="1"/>
  <c r="E277" i="3"/>
  <c r="G277" i="3" s="1"/>
  <c r="H277" i="3" s="1"/>
  <c r="E276" i="3"/>
  <c r="G276" i="3" s="1"/>
  <c r="H276" i="3" s="1"/>
  <c r="E275" i="3"/>
  <c r="G275" i="3" s="1"/>
  <c r="H275" i="3" s="1"/>
  <c r="E274" i="3"/>
  <c r="G274" i="3" s="1"/>
  <c r="H274" i="3" s="1"/>
  <c r="E273" i="3"/>
  <c r="G273" i="3" s="1"/>
  <c r="H273" i="3" s="1"/>
  <c r="E272" i="3"/>
  <c r="G272" i="3" s="1"/>
  <c r="H272" i="3" s="1"/>
  <c r="E271" i="3"/>
  <c r="G271" i="3" s="1"/>
  <c r="H271" i="3" s="1"/>
  <c r="E270" i="3"/>
  <c r="G270" i="3" s="1"/>
  <c r="H270" i="3" s="1"/>
  <c r="E269" i="3"/>
  <c r="G269" i="3" s="1"/>
  <c r="H269" i="3" s="1"/>
  <c r="E268" i="3"/>
  <c r="G268" i="3" s="1"/>
  <c r="H268" i="3" s="1"/>
  <c r="E267" i="3"/>
  <c r="G267" i="3" s="1"/>
  <c r="H267" i="3" s="1"/>
  <c r="E266" i="3"/>
  <c r="G266" i="3" s="1"/>
  <c r="H266" i="3" s="1"/>
  <c r="E265" i="3"/>
  <c r="G265" i="3" s="1"/>
  <c r="H265" i="3" s="1"/>
  <c r="E264" i="3"/>
  <c r="G264" i="3" s="1"/>
  <c r="H264" i="3" s="1"/>
  <c r="E263" i="3"/>
  <c r="G263" i="3" s="1"/>
  <c r="H263" i="3" s="1"/>
  <c r="E262" i="3"/>
  <c r="G262" i="3" s="1"/>
  <c r="H262" i="3" s="1"/>
  <c r="D45" i="1" s="1"/>
  <c r="F45" i="1" s="1"/>
  <c r="H233" i="3"/>
  <c r="H232" i="3"/>
  <c r="H231" i="3"/>
  <c r="K197" i="4" s="1"/>
  <c r="I37" i="3"/>
  <c r="H37" i="3"/>
  <c r="G37" i="3"/>
  <c r="F37" i="3"/>
  <c r="E37" i="3"/>
  <c r="I36" i="3"/>
  <c r="H36" i="3"/>
  <c r="G36" i="3"/>
  <c r="F36" i="3"/>
  <c r="E36" i="3"/>
  <c r="I35" i="3"/>
  <c r="H35" i="3"/>
  <c r="G35" i="3"/>
  <c r="F35" i="3"/>
  <c r="E35" i="3"/>
  <c r="I34" i="3"/>
  <c r="H34" i="3"/>
  <c r="G34" i="3"/>
  <c r="F34" i="3"/>
  <c r="E34" i="3"/>
  <c r="I33" i="3"/>
  <c r="H33" i="3"/>
  <c r="G33" i="3"/>
  <c r="F33" i="3"/>
  <c r="E33" i="3"/>
  <c r="I32" i="3"/>
  <c r="H32" i="3"/>
  <c r="G32" i="3"/>
  <c r="F32" i="3"/>
  <c r="E32" i="3"/>
  <c r="I31" i="3"/>
  <c r="H31" i="3"/>
  <c r="G31" i="3"/>
  <c r="F31" i="3"/>
  <c r="E31" i="3"/>
  <c r="I30" i="3"/>
  <c r="H30" i="3"/>
  <c r="G30" i="3"/>
  <c r="F30" i="3"/>
  <c r="E30" i="3"/>
  <c r="I29" i="3"/>
  <c r="H29" i="3"/>
  <c r="G29" i="3"/>
  <c r="F29" i="3"/>
  <c r="E29" i="3"/>
  <c r="I28" i="3"/>
  <c r="H28" i="3"/>
  <c r="G28" i="3"/>
  <c r="F28" i="3"/>
  <c r="E28" i="3"/>
  <c r="I27" i="3"/>
  <c r="H27" i="3"/>
  <c r="G27" i="3"/>
  <c r="F27" i="3"/>
  <c r="E27" i="3"/>
  <c r="I26" i="3"/>
  <c r="H26" i="3"/>
  <c r="G26" i="3"/>
  <c r="F26" i="3"/>
  <c r="E26" i="3"/>
  <c r="I25" i="3"/>
  <c r="H25" i="3"/>
  <c r="G25" i="3"/>
  <c r="F25" i="3"/>
  <c r="E25" i="3"/>
  <c r="I24" i="3"/>
  <c r="H24" i="3"/>
  <c r="G24" i="3"/>
  <c r="F24" i="3"/>
  <c r="E24" i="3"/>
  <c r="I23" i="3"/>
  <c r="H23" i="3"/>
  <c r="G23" i="3"/>
  <c r="F23" i="3"/>
  <c r="E23" i="3"/>
  <c r="I22" i="3"/>
  <c r="H22" i="3"/>
  <c r="G22" i="3"/>
  <c r="F22" i="3"/>
  <c r="E22" i="3"/>
  <c r="I21" i="3"/>
  <c r="H21" i="3"/>
  <c r="G21" i="3"/>
  <c r="F21" i="3"/>
  <c r="E21" i="3"/>
  <c r="I20" i="3"/>
  <c r="H20" i="3"/>
  <c r="G20" i="3"/>
  <c r="F20" i="3"/>
  <c r="E20" i="3"/>
  <c r="I19" i="3"/>
  <c r="H19" i="3"/>
  <c r="G19" i="3"/>
  <c r="F19" i="3"/>
  <c r="E19" i="3"/>
  <c r="I18" i="3"/>
  <c r="H18" i="3"/>
  <c r="G18" i="3"/>
  <c r="F18" i="3"/>
  <c r="G14" i="3"/>
  <c r="G13" i="3"/>
  <c r="G12" i="3"/>
  <c r="G11" i="3"/>
  <c r="G10" i="3"/>
  <c r="D10" i="3"/>
  <c r="D9" i="3"/>
  <c r="N97" i="2"/>
  <c r="M97" i="2"/>
  <c r="L97" i="2"/>
  <c r="K97" i="2"/>
  <c r="C77" i="2"/>
  <c r="C76" i="2"/>
  <c r="C75" i="2"/>
  <c r="C74" i="2"/>
  <c r="C73" i="2"/>
  <c r="L72" i="2"/>
  <c r="K72" i="2"/>
  <c r="J72" i="2"/>
  <c r="I72" i="2"/>
  <c r="H72" i="2"/>
  <c r="D66" i="2"/>
  <c r="AC64" i="2"/>
  <c r="AB64" i="2"/>
  <c r="AA64" i="2"/>
  <c r="Z64" i="2"/>
  <c r="Y64" i="2"/>
  <c r="X64" i="2"/>
  <c r="E64" i="2"/>
  <c r="D64" i="2"/>
  <c r="C64" i="2"/>
  <c r="AC63" i="2"/>
  <c r="AA63" i="2"/>
  <c r="Z63" i="2"/>
  <c r="X63" i="2"/>
  <c r="C63" i="2"/>
  <c r="AC62" i="2"/>
  <c r="AB62" i="2"/>
  <c r="Z62" i="2"/>
  <c r="X62" i="2"/>
  <c r="C62" i="2"/>
  <c r="AC61" i="2"/>
  <c r="AB61" i="2"/>
  <c r="AA61" i="2"/>
  <c r="X61" i="2"/>
  <c r="C61" i="2"/>
  <c r="E33" i="2"/>
  <c r="E32" i="2"/>
  <c r="E31" i="2"/>
  <c r="E30" i="2"/>
  <c r="D22" i="2"/>
  <c r="S10" i="2"/>
  <c r="D44" i="1"/>
  <c r="F44" i="1" s="1"/>
  <c r="F22" i="1"/>
  <c r="F21" i="1"/>
  <c r="F20" i="1"/>
  <c r="F19" i="1"/>
  <c r="J98" i="4" l="1"/>
  <c r="I102" i="4"/>
  <c r="I103" i="4" s="1"/>
  <c r="N211" i="4"/>
  <c r="N157" i="4"/>
  <c r="N156" i="4"/>
  <c r="I79" i="4"/>
  <c r="I85" i="4" s="1"/>
  <c r="I104" i="4" s="1"/>
  <c r="N210" i="4"/>
  <c r="I145" i="4"/>
  <c r="I237" i="4"/>
  <c r="H145" i="4"/>
  <c r="H237" i="4"/>
  <c r="G145" i="4"/>
  <c r="G237" i="4"/>
  <c r="F145" i="4"/>
  <c r="F237" i="4"/>
  <c r="E145" i="4"/>
  <c r="E237" i="4"/>
  <c r="D21" i="2"/>
  <c r="G97" i="2"/>
  <c r="I27" i="4"/>
  <c r="I245" i="4" s="1"/>
  <c r="I242" i="4"/>
  <c r="I244" i="4"/>
  <c r="H242" i="4"/>
  <c r="H244" i="4"/>
  <c r="H27" i="4"/>
  <c r="H245" i="4" s="1"/>
  <c r="G27" i="4"/>
  <c r="G245" i="4" s="1"/>
  <c r="G242" i="4"/>
  <c r="G244" i="4"/>
  <c r="F27" i="4"/>
  <c r="F245" i="4" s="1"/>
  <c r="F244" i="4"/>
  <c r="F242" i="4"/>
  <c r="E242" i="4"/>
  <c r="E244" i="4"/>
  <c r="E27" i="4"/>
  <c r="E245" i="4" s="1"/>
  <c r="E97" i="2"/>
  <c r="I21" i="4"/>
  <c r="H22" i="4"/>
  <c r="H142" i="4"/>
  <c r="G142" i="4"/>
  <c r="G22" i="4"/>
  <c r="F22" i="4"/>
  <c r="F142" i="4"/>
  <c r="E22" i="4"/>
  <c r="E142" i="4"/>
  <c r="I37" i="4"/>
  <c r="I36" i="4"/>
  <c r="H37" i="4"/>
  <c r="H36" i="4"/>
  <c r="G37" i="4"/>
  <c r="G36" i="4"/>
  <c r="F37" i="4"/>
  <c r="F36" i="4"/>
  <c r="E36" i="4"/>
  <c r="E37" i="4"/>
  <c r="I35" i="4"/>
  <c r="D97" i="2"/>
  <c r="D19" i="2"/>
  <c r="G368" i="3"/>
  <c r="G367" i="3"/>
  <c r="N207" i="4" s="1"/>
  <c r="G369" i="3"/>
  <c r="L37" i="3"/>
  <c r="H326" i="3" s="1"/>
  <c r="K37" i="3"/>
  <c r="G326" i="3" s="1"/>
  <c r="J37" i="3"/>
  <c r="F326" i="3" s="1"/>
  <c r="N36" i="3"/>
  <c r="J325" i="3" s="1"/>
  <c r="M36" i="3"/>
  <c r="I325" i="3" s="1"/>
  <c r="L36" i="3"/>
  <c r="H325" i="3" s="1"/>
  <c r="K36" i="3"/>
  <c r="G325" i="3" s="1"/>
  <c r="J36" i="3"/>
  <c r="F325" i="3" s="1"/>
  <c r="N35" i="3"/>
  <c r="M35" i="3"/>
  <c r="L35" i="3"/>
  <c r="K35" i="3"/>
  <c r="J35" i="3"/>
  <c r="N34" i="3"/>
  <c r="M34" i="3"/>
  <c r="L34" i="3"/>
  <c r="K34" i="3"/>
  <c r="J34" i="3"/>
  <c r="N33" i="3"/>
  <c r="M33" i="3"/>
  <c r="L33" i="3"/>
  <c r="K33" i="3"/>
  <c r="J33" i="3"/>
  <c r="N32" i="3"/>
  <c r="J321" i="3" s="1"/>
  <c r="M32" i="3"/>
  <c r="I321" i="3" s="1"/>
  <c r="L32" i="3"/>
  <c r="H321" i="3" s="1"/>
  <c r="K32" i="3"/>
  <c r="G321" i="3" s="1"/>
  <c r="J32" i="3"/>
  <c r="F321" i="3" s="1"/>
  <c r="N31" i="3"/>
  <c r="J320" i="3" s="1"/>
  <c r="M31" i="3"/>
  <c r="I320" i="3" s="1"/>
  <c r="L31" i="3"/>
  <c r="H320" i="3" s="1"/>
  <c r="K31" i="3"/>
  <c r="G320" i="3" s="1"/>
  <c r="J31" i="3"/>
  <c r="F320" i="3" s="1"/>
  <c r="N30" i="3"/>
  <c r="J319" i="3" s="1"/>
  <c r="M30" i="3"/>
  <c r="I319" i="3" s="1"/>
  <c r="L30" i="3"/>
  <c r="H319" i="3" s="1"/>
  <c r="J30" i="3"/>
  <c r="F319" i="3" s="1"/>
  <c r="N29" i="3"/>
  <c r="J318" i="3" s="1"/>
  <c r="M29" i="3"/>
  <c r="I318" i="3" s="1"/>
  <c r="L29" i="3"/>
  <c r="H318" i="3" s="1"/>
  <c r="K29" i="3"/>
  <c r="G318" i="3" s="1"/>
  <c r="J29" i="3"/>
  <c r="F318" i="3" s="1"/>
  <c r="N28" i="3"/>
  <c r="J317" i="3" s="1"/>
  <c r="M28" i="3"/>
  <c r="I317" i="3" s="1"/>
  <c r="L28" i="3"/>
  <c r="H317" i="3" s="1"/>
  <c r="K28" i="3"/>
  <c r="G317" i="3" s="1"/>
  <c r="J28" i="3"/>
  <c r="F317" i="3" s="1"/>
  <c r="N27" i="3"/>
  <c r="J316" i="3" s="1"/>
  <c r="M27" i="3"/>
  <c r="I316" i="3" s="1"/>
  <c r="L27" i="3"/>
  <c r="H316" i="3" s="1"/>
  <c r="K27" i="3"/>
  <c r="G316" i="3" s="1"/>
  <c r="J27" i="3"/>
  <c r="F316" i="3" s="1"/>
  <c r="N26" i="3"/>
  <c r="J315" i="3" s="1"/>
  <c r="M26" i="3"/>
  <c r="I315" i="3" s="1"/>
  <c r="L26" i="3"/>
  <c r="H315" i="3" s="1"/>
  <c r="K26" i="3"/>
  <c r="G315" i="3" s="1"/>
  <c r="J26" i="3"/>
  <c r="F315" i="3" s="1"/>
  <c r="N25" i="3"/>
  <c r="J314" i="3" s="1"/>
  <c r="M25" i="3"/>
  <c r="I314" i="3" s="1"/>
  <c r="L25" i="3"/>
  <c r="H314" i="3" s="1"/>
  <c r="K25" i="3"/>
  <c r="G314" i="3" s="1"/>
  <c r="J25" i="3"/>
  <c r="F314" i="3" s="1"/>
  <c r="N24" i="3"/>
  <c r="M24" i="3"/>
  <c r="L24" i="3"/>
  <c r="K24" i="3"/>
  <c r="J24" i="3"/>
  <c r="N23" i="3"/>
  <c r="M23" i="3"/>
  <c r="L23" i="3"/>
  <c r="K30" i="3"/>
  <c r="G319" i="3" s="1"/>
  <c r="J23" i="3"/>
  <c r="N22" i="3"/>
  <c r="M22" i="3"/>
  <c r="L22" i="3"/>
  <c r="K22" i="3"/>
  <c r="J22" i="3"/>
  <c r="N21" i="3"/>
  <c r="M21" i="3"/>
  <c r="L21" i="3"/>
  <c r="K21" i="3"/>
  <c r="J21" i="3"/>
  <c r="N20" i="3"/>
  <c r="M20" i="3"/>
  <c r="L20" i="3"/>
  <c r="K20" i="3"/>
  <c r="J20" i="3"/>
  <c r="N19" i="3"/>
  <c r="M19" i="3"/>
  <c r="L19" i="3"/>
  <c r="K19" i="3"/>
  <c r="J19" i="3"/>
  <c r="N18" i="3"/>
  <c r="M18" i="3"/>
  <c r="L18" i="3"/>
  <c r="K18" i="3"/>
  <c r="J18" i="3"/>
  <c r="J170" i="4"/>
  <c r="K170" i="4"/>
  <c r="L170" i="4"/>
  <c r="M170" i="4"/>
  <c r="N170" i="4"/>
  <c r="D42" i="1" s="1"/>
  <c r="F42" i="1" s="1"/>
  <c r="N37" i="3"/>
  <c r="J326" i="3" s="1"/>
  <c r="M37" i="3"/>
  <c r="I326" i="3" s="1"/>
  <c r="K23" i="3"/>
  <c r="I46" i="4"/>
  <c r="I147" i="4" s="1"/>
  <c r="H46" i="4"/>
  <c r="H147" i="4" s="1"/>
  <c r="G46" i="4"/>
  <c r="G147" i="4" s="1"/>
  <c r="F46" i="4"/>
  <c r="F147" i="4" s="1"/>
  <c r="K98" i="4" l="1"/>
  <c r="I22" i="4"/>
  <c r="I142" i="4"/>
  <c r="D20" i="2"/>
  <c r="F97" i="2"/>
  <c r="H143" i="4"/>
  <c r="H144" i="4"/>
  <c r="H148" i="4" s="1"/>
  <c r="G143" i="4"/>
  <c r="G144" i="4"/>
  <c r="G148" i="4" s="1"/>
  <c r="F143" i="4"/>
  <c r="F144" i="4"/>
  <c r="F148" i="4" s="1"/>
  <c r="E143" i="4"/>
  <c r="E144" i="4"/>
  <c r="J324" i="3"/>
  <c r="N62" i="4"/>
  <c r="N129" i="4" s="1"/>
  <c r="M62" i="4"/>
  <c r="M129" i="4" s="1"/>
  <c r="I324" i="3"/>
  <c r="L62" i="4"/>
  <c r="L129" i="4" s="1"/>
  <c r="H324" i="3"/>
  <c r="K62" i="4"/>
  <c r="K129" i="4" s="1"/>
  <c r="G324" i="3"/>
  <c r="F324" i="3"/>
  <c r="J62" i="4"/>
  <c r="J129" i="4" s="1"/>
  <c r="N57" i="4"/>
  <c r="N128" i="4" s="1"/>
  <c r="J323" i="3"/>
  <c r="M57" i="4"/>
  <c r="M128" i="4" s="1"/>
  <c r="I323" i="3"/>
  <c r="L57" i="4"/>
  <c r="L128" i="4" s="1"/>
  <c r="H323" i="3"/>
  <c r="K57" i="4"/>
  <c r="K128" i="4" s="1"/>
  <c r="G323" i="3"/>
  <c r="J57" i="4"/>
  <c r="F323" i="3"/>
  <c r="N68" i="4"/>
  <c r="J322" i="3"/>
  <c r="M68" i="4"/>
  <c r="I322" i="3"/>
  <c r="L68" i="4"/>
  <c r="H322" i="3"/>
  <c r="K68" i="4"/>
  <c r="G322" i="3"/>
  <c r="J68" i="4"/>
  <c r="F322" i="3"/>
  <c r="J313" i="3"/>
  <c r="N37" i="4"/>
  <c r="I313" i="3"/>
  <c r="M37" i="4"/>
  <c r="H313" i="3"/>
  <c r="L37" i="4"/>
  <c r="G313" i="3"/>
  <c r="K37" i="4"/>
  <c r="F313" i="3"/>
  <c r="J37" i="4"/>
  <c r="J312" i="3"/>
  <c r="N36" i="4"/>
  <c r="I312" i="3"/>
  <c r="M36" i="4"/>
  <c r="H312" i="3"/>
  <c r="L36" i="4"/>
  <c r="F312" i="3"/>
  <c r="J36" i="4"/>
  <c r="J311" i="3"/>
  <c r="N35" i="4"/>
  <c r="I311" i="3"/>
  <c r="M35" i="4"/>
  <c r="H311" i="3"/>
  <c r="L35" i="4"/>
  <c r="G311" i="3"/>
  <c r="K35" i="4"/>
  <c r="F311" i="3"/>
  <c r="J35" i="4"/>
  <c r="J310" i="3"/>
  <c r="N14" i="4"/>
  <c r="I310" i="3"/>
  <c r="M14" i="4"/>
  <c r="H310" i="3"/>
  <c r="L14" i="4"/>
  <c r="G310" i="3"/>
  <c r="K14" i="4"/>
  <c r="F310" i="3"/>
  <c r="J14" i="4"/>
  <c r="J309" i="3"/>
  <c r="N13" i="4"/>
  <c r="I309" i="3"/>
  <c r="M13" i="4"/>
  <c r="H309" i="3"/>
  <c r="L13" i="4"/>
  <c r="G309" i="3"/>
  <c r="K13" i="4"/>
  <c r="F309" i="3"/>
  <c r="J13" i="4"/>
  <c r="J308" i="3"/>
  <c r="N12" i="4"/>
  <c r="I308" i="3"/>
  <c r="M12" i="4"/>
  <c r="H308" i="3"/>
  <c r="L12" i="4"/>
  <c r="G308" i="3"/>
  <c r="K12" i="4"/>
  <c r="F308" i="3"/>
  <c r="J12" i="4"/>
  <c r="J307" i="3"/>
  <c r="N11" i="4"/>
  <c r="I307" i="3"/>
  <c r="M11" i="4"/>
  <c r="H307" i="3"/>
  <c r="L11" i="4"/>
  <c r="G307" i="3"/>
  <c r="K11" i="4"/>
  <c r="F307" i="3"/>
  <c r="J11" i="4"/>
  <c r="J16" i="4" s="1"/>
  <c r="G312" i="3"/>
  <c r="K36" i="4"/>
  <c r="L98" i="4" l="1"/>
  <c r="I143" i="4"/>
  <c r="I144" i="4"/>
  <c r="I148" i="4" s="1"/>
  <c r="D23" i="2" s="1"/>
  <c r="J58" i="4"/>
  <c r="J128" i="4"/>
  <c r="N131" i="4"/>
  <c r="N226" i="4"/>
  <c r="N228" i="4" s="1"/>
  <c r="M131" i="4"/>
  <c r="M226" i="4"/>
  <c r="M228" i="4" s="1"/>
  <c r="L131" i="4"/>
  <c r="L226" i="4"/>
  <c r="L228" i="4" s="1"/>
  <c r="K131" i="4"/>
  <c r="K226" i="4"/>
  <c r="K228" i="4" s="1"/>
  <c r="J131" i="4"/>
  <c r="J226" i="4"/>
  <c r="J228" i="4" s="1"/>
  <c r="J230" i="4" s="1"/>
  <c r="J81" i="4"/>
  <c r="J75" i="4"/>
  <c r="J125" i="4" s="1"/>
  <c r="J52" i="4"/>
  <c r="J39" i="4"/>
  <c r="J20" i="4"/>
  <c r="J19" i="4"/>
  <c r="K16" i="4"/>
  <c r="D98" i="2"/>
  <c r="E19" i="2"/>
  <c r="N208" i="4"/>
  <c r="N209" i="4" s="1"/>
  <c r="N212" i="4" s="1"/>
  <c r="J181" i="4"/>
  <c r="J120" i="4"/>
  <c r="J84" i="4"/>
  <c r="J61" i="4"/>
  <c r="J53" i="4"/>
  <c r="J43" i="4"/>
  <c r="J89" i="4" s="1"/>
  <c r="J41" i="4"/>
  <c r="J78" i="4" s="1"/>
  <c r="J18" i="4"/>
  <c r="J17" i="4"/>
  <c r="M98" i="4" l="1"/>
  <c r="K56" i="4"/>
  <c r="K58" i="4" s="1"/>
  <c r="J168" i="4"/>
  <c r="J93" i="4"/>
  <c r="J231" i="4"/>
  <c r="J29" i="4" s="1"/>
  <c r="K225" i="4"/>
  <c r="J88" i="4"/>
  <c r="J94" i="4"/>
  <c r="J54" i="4"/>
  <c r="J124" i="4"/>
  <c r="J126" i="4" s="1"/>
  <c r="L98" i="2" s="1"/>
  <c r="J146" i="4"/>
  <c r="J76" i="4"/>
  <c r="J116" i="4" s="1"/>
  <c r="K17" i="4"/>
  <c r="K19" i="4"/>
  <c r="K41" i="4"/>
  <c r="K78" i="4" s="1"/>
  <c r="K118" i="4" s="1"/>
  <c r="K43" i="4"/>
  <c r="K89" i="4" s="1"/>
  <c r="K61" i="4"/>
  <c r="K112" i="4" s="1"/>
  <c r="L16" i="4"/>
  <c r="K18" i="4"/>
  <c r="K20" i="4"/>
  <c r="K39" i="4"/>
  <c r="K52" i="4"/>
  <c r="K53" i="4"/>
  <c r="K75" i="4"/>
  <c r="K125" i="4" s="1"/>
  <c r="K81" i="4"/>
  <c r="K84" i="4"/>
  <c r="K120" i="4"/>
  <c r="K181" i="4"/>
  <c r="F19" i="2"/>
  <c r="D99" i="2"/>
  <c r="J182" i="4"/>
  <c r="J184" i="4"/>
  <c r="J63" i="4"/>
  <c r="J112" i="4"/>
  <c r="J111" i="4"/>
  <c r="J145" i="4"/>
  <c r="J237" i="4"/>
  <c r="J238" i="4" s="1"/>
  <c r="J239" i="4" s="1"/>
  <c r="J243" i="4" s="1"/>
  <c r="J21" i="4"/>
  <c r="E98" i="2"/>
  <c r="J40" i="4"/>
  <c r="J42" i="4"/>
  <c r="J87" i="4" s="1"/>
  <c r="J118" i="4"/>
  <c r="N98" i="4" l="1"/>
  <c r="K168" i="4"/>
  <c r="K93" i="4"/>
  <c r="L56" i="4"/>
  <c r="L58" i="4" s="1"/>
  <c r="E264" i="4"/>
  <c r="D264" i="4"/>
  <c r="J232" i="4"/>
  <c r="N213" i="4"/>
  <c r="N214" i="4" s="1"/>
  <c r="O21" i="2" s="1"/>
  <c r="K230" i="4"/>
  <c r="K51" i="4"/>
  <c r="K54" i="4" s="1"/>
  <c r="J169" i="4"/>
  <c r="J80" i="4"/>
  <c r="K40" i="4"/>
  <c r="K42" i="4"/>
  <c r="K87" i="4" s="1"/>
  <c r="L18" i="4"/>
  <c r="L17" i="4" s="1"/>
  <c r="L19" i="4"/>
  <c r="L41" i="4"/>
  <c r="L78" i="4" s="1"/>
  <c r="L118" i="4" s="1"/>
  <c r="L43" i="4"/>
  <c r="L89" i="4" s="1"/>
  <c r="L53" i="4"/>
  <c r="L61" i="4"/>
  <c r="L112" i="4" s="1"/>
  <c r="L120" i="4"/>
  <c r="L181" i="4"/>
  <c r="G19" i="2"/>
  <c r="D100" i="2"/>
  <c r="M16" i="4"/>
  <c r="L20" i="4"/>
  <c r="L39" i="4"/>
  <c r="L52" i="4"/>
  <c r="L75" i="4"/>
  <c r="L125" i="4" s="1"/>
  <c r="L81" i="4"/>
  <c r="L84" i="4"/>
  <c r="K21" i="4"/>
  <c r="E99" i="2"/>
  <c r="K76" i="4"/>
  <c r="K116" i="4" s="1"/>
  <c r="K124" i="4"/>
  <c r="K126" i="4" s="1"/>
  <c r="L99" i="2" s="1"/>
  <c r="K146" i="4"/>
  <c r="K111" i="4"/>
  <c r="K145" i="4"/>
  <c r="K237" i="4"/>
  <c r="K238" i="4" s="1"/>
  <c r="K239" i="4" s="1"/>
  <c r="K243" i="4" s="1"/>
  <c r="K113" i="4" s="1"/>
  <c r="K88" i="4"/>
  <c r="K94" i="4" s="1"/>
  <c r="K182" i="4"/>
  <c r="K184" i="4"/>
  <c r="K60" i="4"/>
  <c r="K63" i="4" s="1"/>
  <c r="J99" i="4"/>
  <c r="J95" i="4"/>
  <c r="K95" i="4" s="1"/>
  <c r="J113" i="4"/>
  <c r="J22" i="4"/>
  <c r="J25" i="4"/>
  <c r="J142" i="4"/>
  <c r="E20" i="2"/>
  <c r="F98" i="2"/>
  <c r="J77" i="4"/>
  <c r="J117" i="4" s="1"/>
  <c r="L168" i="4" l="1"/>
  <c r="M56" i="4"/>
  <c r="M58" i="4" s="1"/>
  <c r="L93" i="4"/>
  <c r="E63" i="2"/>
  <c r="AB63" i="2"/>
  <c r="D63" i="2"/>
  <c r="Y63" i="2"/>
  <c r="K80" i="4"/>
  <c r="L51" i="4"/>
  <c r="L54" i="4" s="1"/>
  <c r="K169" i="4"/>
  <c r="L40" i="4"/>
  <c r="L42" i="4"/>
  <c r="L87" i="4" s="1"/>
  <c r="E100" i="2"/>
  <c r="L21" i="4"/>
  <c r="L111" i="4"/>
  <c r="L145" i="4"/>
  <c r="L237" i="4"/>
  <c r="L238" i="4" s="1"/>
  <c r="L239" i="4" s="1"/>
  <c r="L243" i="4" s="1"/>
  <c r="L182" i="4"/>
  <c r="L184" i="4"/>
  <c r="M19" i="4"/>
  <c r="M41" i="4"/>
  <c r="M78" i="4" s="1"/>
  <c r="M43" i="4"/>
  <c r="M89" i="4" s="1"/>
  <c r="M61" i="4"/>
  <c r="M112" i="4" s="1"/>
  <c r="N16" i="4"/>
  <c r="M18" i="4"/>
  <c r="M17" i="4" s="1"/>
  <c r="M20" i="4"/>
  <c r="M39" i="4"/>
  <c r="M52" i="4"/>
  <c r="M53" i="4"/>
  <c r="M75" i="4"/>
  <c r="M125" i="4" s="1"/>
  <c r="M81" i="4"/>
  <c r="M84" i="4"/>
  <c r="M120" i="4"/>
  <c r="M181" i="4"/>
  <c r="H19" i="2"/>
  <c r="D101" i="2"/>
  <c r="L76" i="4"/>
  <c r="L116" i="4" s="1"/>
  <c r="L124" i="4"/>
  <c r="L126" i="4" s="1"/>
  <c r="L100" i="2" s="1"/>
  <c r="L146" i="4"/>
  <c r="L88" i="4"/>
  <c r="L94" i="4"/>
  <c r="K142" i="4"/>
  <c r="F20" i="2"/>
  <c r="F99" i="2"/>
  <c r="K22" i="4"/>
  <c r="K99" i="4"/>
  <c r="L60" i="4"/>
  <c r="L63" i="4" s="1"/>
  <c r="J236" i="4"/>
  <c r="L225" i="4"/>
  <c r="K231" i="4"/>
  <c r="K29" i="4" s="1"/>
  <c r="K232" i="4" s="1"/>
  <c r="K77" i="4"/>
  <c r="K117" i="4" s="1"/>
  <c r="M168" i="4" l="1"/>
  <c r="M93" i="4"/>
  <c r="N56" i="4"/>
  <c r="N58" i="4" s="1"/>
  <c r="L80" i="4"/>
  <c r="L169" i="4"/>
  <c r="M51" i="4"/>
  <c r="M54" i="4" s="1"/>
  <c r="L22" i="4"/>
  <c r="L142" i="4"/>
  <c r="G20" i="2"/>
  <c r="F100" i="2"/>
  <c r="L95" i="4"/>
  <c r="M95" i="4" s="1"/>
  <c r="L113" i="4"/>
  <c r="M40" i="4"/>
  <c r="M42" i="4"/>
  <c r="M87" i="4" s="1"/>
  <c r="N18" i="4"/>
  <c r="N17" i="4" s="1"/>
  <c r="N39" i="4"/>
  <c r="N41" i="4"/>
  <c r="N78" i="4" s="1"/>
  <c r="N118" i="4" s="1"/>
  <c r="N43" i="4"/>
  <c r="N89" i="4" s="1"/>
  <c r="N61" i="4"/>
  <c r="N112" i="4" s="1"/>
  <c r="N120" i="4"/>
  <c r="N181" i="4"/>
  <c r="I19" i="2"/>
  <c r="D102" i="2"/>
  <c r="N19" i="4"/>
  <c r="N20" i="4"/>
  <c r="N52" i="4"/>
  <c r="N53" i="4"/>
  <c r="N75" i="4"/>
  <c r="N125" i="4" s="1"/>
  <c r="N81" i="4"/>
  <c r="N84" i="4"/>
  <c r="M21" i="4"/>
  <c r="E101" i="2"/>
  <c r="M76" i="4"/>
  <c r="M116" i="4" s="1"/>
  <c r="M124" i="4"/>
  <c r="M126" i="4" s="1"/>
  <c r="L101" i="2" s="1"/>
  <c r="M146" i="4"/>
  <c r="M111" i="4"/>
  <c r="M145" i="4"/>
  <c r="M237" i="4"/>
  <c r="M238" i="4" s="1"/>
  <c r="M239" i="4" s="1"/>
  <c r="M243" i="4" s="1"/>
  <c r="M113" i="4" s="1"/>
  <c r="M88" i="4"/>
  <c r="M94" i="4" s="1"/>
  <c r="M182" i="4"/>
  <c r="M184" i="4"/>
  <c r="L99" i="4"/>
  <c r="M60" i="4"/>
  <c r="M63" i="4" s="1"/>
  <c r="J240" i="4"/>
  <c r="J241" i="4"/>
  <c r="J242" i="4" s="1"/>
  <c r="J244" i="4" s="1"/>
  <c r="J26" i="4" s="1"/>
  <c r="J245" i="4"/>
  <c r="L230" i="4"/>
  <c r="M118" i="4"/>
  <c r="L77" i="4"/>
  <c r="L117" i="4" s="1"/>
  <c r="N168" i="4" l="1"/>
  <c r="D40" i="1" s="1"/>
  <c r="F40" i="1" s="1"/>
  <c r="N93" i="4"/>
  <c r="M169" i="4"/>
  <c r="M80" i="4"/>
  <c r="N51" i="4"/>
  <c r="N54" i="4" s="1"/>
  <c r="N40" i="4"/>
  <c r="N77" i="4" s="1"/>
  <c r="N117" i="4" s="1"/>
  <c r="N42" i="4"/>
  <c r="N87" i="4" s="1"/>
  <c r="E102" i="2"/>
  <c r="N21" i="4"/>
  <c r="N76" i="4"/>
  <c r="N116" i="4" s="1"/>
  <c r="N182" i="4"/>
  <c r="N184" i="4"/>
  <c r="N124" i="4"/>
  <c r="N126" i="4" s="1"/>
  <c r="L102" i="2" s="1"/>
  <c r="N146" i="4"/>
  <c r="N111" i="4"/>
  <c r="N145" i="4"/>
  <c r="N237" i="4"/>
  <c r="N238" i="4" s="1"/>
  <c r="N239" i="4" s="1"/>
  <c r="N243" i="4" s="1"/>
  <c r="N88" i="4"/>
  <c r="N94" i="4"/>
  <c r="M22" i="4"/>
  <c r="M142" i="4"/>
  <c r="H20" i="2"/>
  <c r="F101" i="2"/>
  <c r="M99" i="4"/>
  <c r="N60" i="4"/>
  <c r="N63" i="4" s="1"/>
  <c r="N99" i="4" s="1"/>
  <c r="J28" i="4"/>
  <c r="J27" i="4"/>
  <c r="J246" i="4"/>
  <c r="J44" i="4"/>
  <c r="M77" i="4"/>
  <c r="M117" i="4" s="1"/>
  <c r="M225" i="4"/>
  <c r="L231" i="4"/>
  <c r="L29" i="4" s="1"/>
  <c r="L232" i="4" s="1"/>
  <c r="N80" i="4" l="1"/>
  <c r="N169" i="4"/>
  <c r="D41" i="1" s="1"/>
  <c r="F41" i="1" s="1"/>
  <c r="N22" i="4"/>
  <c r="N142" i="4"/>
  <c r="I20" i="2"/>
  <c r="F102" i="2"/>
  <c r="N185" i="4"/>
  <c r="N95" i="4"/>
  <c r="N113" i="4"/>
  <c r="J67" i="4"/>
  <c r="J130" i="4" s="1"/>
  <c r="J132" i="4" s="1"/>
  <c r="M98" i="2" s="1"/>
  <c r="J66" i="4"/>
  <c r="J30" i="4"/>
  <c r="G98" i="2"/>
  <c r="E21" i="2"/>
  <c r="J110" i="4"/>
  <c r="J143" i="4"/>
  <c r="J144" i="4" s="1"/>
  <c r="J183" i="4"/>
  <c r="J186" i="4" s="1"/>
  <c r="J45" i="4"/>
  <c r="J46" i="4" s="1"/>
  <c r="J147" i="4" s="1"/>
  <c r="J90" i="4"/>
  <c r="M230" i="4"/>
  <c r="D263" i="4" l="1"/>
  <c r="E263" i="4"/>
  <c r="L198" i="4"/>
  <c r="L199" i="4" s="1"/>
  <c r="O20" i="2" s="1"/>
  <c r="E24" i="2"/>
  <c r="J92" i="4"/>
  <c r="J96" i="4" s="1"/>
  <c r="J119" i="4"/>
  <c r="J122" i="4" s="1"/>
  <c r="J69" i="4"/>
  <c r="J148" i="4"/>
  <c r="N225" i="4"/>
  <c r="M231" i="4"/>
  <c r="M29" i="4" s="1"/>
  <c r="M232" i="4" s="1"/>
  <c r="Y62" i="2" l="1"/>
  <c r="D62" i="2"/>
  <c r="AA62" i="2"/>
  <c r="E62" i="2"/>
  <c r="K98" i="2"/>
  <c r="E22" i="2"/>
  <c r="J134" i="4"/>
  <c r="J101" i="4"/>
  <c r="J102" i="4" s="1"/>
  <c r="J103" i="4" s="1"/>
  <c r="K65" i="4"/>
  <c r="J171" i="4"/>
  <c r="E23" i="2"/>
  <c r="N230" i="4"/>
  <c r="N231" i="4" s="1"/>
  <c r="N29" i="4" s="1"/>
  <c r="J135" i="4" l="1"/>
  <c r="N98" i="2"/>
  <c r="N159" i="4"/>
  <c r="N232" i="4"/>
  <c r="J74" i="4" l="1"/>
  <c r="J136" i="4"/>
  <c r="J167" i="4" s="1"/>
  <c r="K23" i="4" l="1"/>
  <c r="K25" i="4" s="1"/>
  <c r="J79" i="4"/>
  <c r="J85" i="4" s="1"/>
  <c r="J104" i="4" s="1"/>
  <c r="J166" i="4" s="1"/>
  <c r="J172" i="4" s="1"/>
  <c r="K236" i="4" l="1"/>
  <c r="K240" i="4" l="1"/>
  <c r="K241" i="4"/>
  <c r="K242" i="4" s="1"/>
  <c r="K244" i="4" s="1"/>
  <c r="K26" i="4" l="1"/>
  <c r="K245" i="4"/>
  <c r="K246" i="4" l="1"/>
  <c r="K44" i="4"/>
  <c r="K28" i="4"/>
  <c r="K27" i="4"/>
  <c r="K45" i="4" l="1"/>
  <c r="K46" i="4" s="1"/>
  <c r="K147" i="4" s="1"/>
  <c r="K90" i="4"/>
  <c r="G99" i="2"/>
  <c r="F21" i="2"/>
  <c r="K110" i="4"/>
  <c r="K67" i="4"/>
  <c r="K130" i="4" s="1"/>
  <c r="K132" i="4" s="1"/>
  <c r="M99" i="2" s="1"/>
  <c r="K66" i="4"/>
  <c r="K30" i="4"/>
  <c r="F24" i="2" s="1"/>
  <c r="K183" i="4"/>
  <c r="K186" i="4" s="1"/>
  <c r="K143" i="4"/>
  <c r="K144" i="4" s="1"/>
  <c r="K92" i="4" l="1"/>
  <c r="K96" i="4" s="1"/>
  <c r="K119" i="4"/>
  <c r="K122" i="4" s="1"/>
  <c r="K69" i="4"/>
  <c r="K148" i="4"/>
  <c r="K101" i="4" l="1"/>
  <c r="K102" i="4" s="1"/>
  <c r="K103" i="4" s="1"/>
  <c r="L65" i="4"/>
  <c r="K171" i="4"/>
  <c r="F23" i="2"/>
  <c r="F22" i="2"/>
  <c r="K99" i="2"/>
  <c r="K134" i="4"/>
  <c r="N99" i="2" l="1"/>
  <c r="K135" i="4"/>
  <c r="K74" i="4" l="1"/>
  <c r="K136" i="4" s="1"/>
  <c r="K167" i="4" s="1"/>
  <c r="L23" i="4" l="1"/>
  <c r="L25" i="4" s="1"/>
  <c r="K79" i="4"/>
  <c r="K85" i="4" s="1"/>
  <c r="K104" i="4" s="1"/>
  <c r="K166" i="4" s="1"/>
  <c r="K172" i="4" s="1"/>
  <c r="L236" i="4" l="1"/>
  <c r="L240" i="4" l="1"/>
  <c r="L241" i="4" s="1"/>
  <c r="L242" i="4" s="1"/>
  <c r="L244" i="4" s="1"/>
  <c r="L245" i="4" l="1"/>
  <c r="L26" i="4"/>
  <c r="L246" i="4" l="1"/>
  <c r="L44" i="4"/>
  <c r="L28" i="4"/>
  <c r="L27" i="4"/>
  <c r="L45" i="4" l="1"/>
  <c r="L46" i="4" s="1"/>
  <c r="L147" i="4" s="1"/>
  <c r="L90" i="4"/>
  <c r="L67" i="4"/>
  <c r="L130" i="4" s="1"/>
  <c r="L132" i="4" s="1"/>
  <c r="M100" i="2" s="1"/>
  <c r="L66" i="4"/>
  <c r="L30" i="4"/>
  <c r="G24" i="2" s="1"/>
  <c r="G100" i="2"/>
  <c r="G21" i="2"/>
  <c r="L110" i="4"/>
  <c r="L183" i="4"/>
  <c r="L186" i="4" s="1"/>
  <c r="L143" i="4"/>
  <c r="L144" i="4" s="1"/>
  <c r="L92" i="4" l="1"/>
  <c r="L96" i="4" s="1"/>
  <c r="L119" i="4"/>
  <c r="L122" i="4" s="1"/>
  <c r="L134" i="4"/>
  <c r="G22" i="2"/>
  <c r="K100" i="2"/>
  <c r="L69" i="4"/>
  <c r="L148" i="4"/>
  <c r="L135" i="4" l="1"/>
  <c r="N100" i="2"/>
  <c r="M65" i="4"/>
  <c r="L101" i="4"/>
  <c r="L102" i="4" s="1"/>
  <c r="L103" i="4" s="1"/>
  <c r="L171" i="4"/>
  <c r="G23" i="2"/>
  <c r="L74" i="4" l="1"/>
  <c r="L136" i="4"/>
  <c r="L167" i="4" s="1"/>
  <c r="M23" i="4" l="1"/>
  <c r="M25" i="4" s="1"/>
  <c r="L79" i="4"/>
  <c r="L85" i="4" s="1"/>
  <c r="L104" i="4" s="1"/>
  <c r="L166" i="4" s="1"/>
  <c r="L172" i="4" s="1"/>
  <c r="M236" i="4" l="1"/>
  <c r="M240" i="4" l="1"/>
  <c r="M241" i="4"/>
  <c r="M242" i="4" s="1"/>
  <c r="M244" i="4" s="1"/>
  <c r="M26" i="4" l="1"/>
  <c r="M245" i="4"/>
  <c r="M246" i="4" l="1"/>
  <c r="M44" i="4"/>
  <c r="M27" i="4"/>
  <c r="M28" i="4"/>
  <c r="M45" i="4" l="1"/>
  <c r="M46" i="4" s="1"/>
  <c r="M147" i="4" s="1"/>
  <c r="M90" i="4"/>
  <c r="M183" i="4"/>
  <c r="M186" i="4" s="1"/>
  <c r="M143" i="4"/>
  <c r="M144" i="4" s="1"/>
  <c r="M148" i="4" s="1"/>
  <c r="G101" i="2"/>
  <c r="H21" i="2"/>
  <c r="M110" i="4"/>
  <c r="M67" i="4"/>
  <c r="M130" i="4" s="1"/>
  <c r="M132" i="4" s="1"/>
  <c r="M101" i="2" s="1"/>
  <c r="M30" i="4"/>
  <c r="H24" i="2" s="1"/>
  <c r="M66" i="4"/>
  <c r="M119" i="4" l="1"/>
  <c r="M122" i="4" s="1"/>
  <c r="M92" i="4"/>
  <c r="M96" i="4" s="1"/>
  <c r="H23" i="2"/>
  <c r="M171" i="4"/>
  <c r="M69" i="4"/>
  <c r="M101" i="4" l="1"/>
  <c r="M102" i="4" s="1"/>
  <c r="M103" i="4" s="1"/>
  <c r="N65" i="4"/>
  <c r="M134" i="4"/>
  <c r="H22" i="2"/>
  <c r="K101" i="2"/>
  <c r="N101" i="2" l="1"/>
  <c r="M135" i="4"/>
  <c r="M74" i="4" l="1"/>
  <c r="M136" i="4"/>
  <c r="M167" i="4" s="1"/>
  <c r="N23" i="4" l="1"/>
  <c r="N25" i="4" s="1"/>
  <c r="M79" i="4"/>
  <c r="M85" i="4" s="1"/>
  <c r="M104" i="4" s="1"/>
  <c r="M166" i="4" s="1"/>
  <c r="M172" i="4" s="1"/>
  <c r="N236" i="4" l="1"/>
  <c r="N240" i="4" l="1"/>
  <c r="N241" i="4"/>
  <c r="N242" i="4" s="1"/>
  <c r="N244" i="4" s="1"/>
  <c r="N26" i="4" l="1"/>
  <c r="N245" i="4"/>
  <c r="N246" i="4" l="1"/>
  <c r="N44" i="4"/>
  <c r="N27" i="4"/>
  <c r="N28" i="4"/>
  <c r="N45" i="4" l="1"/>
  <c r="N46" i="4" s="1"/>
  <c r="N147" i="4" s="1"/>
  <c r="N90" i="4"/>
  <c r="N138" i="4"/>
  <c r="N183" i="4"/>
  <c r="N186" i="4" s="1"/>
  <c r="N143" i="4"/>
  <c r="N144" i="4" s="1"/>
  <c r="N148" i="4" s="1"/>
  <c r="N67" i="4"/>
  <c r="N130" i="4" s="1"/>
  <c r="N132" i="4" s="1"/>
  <c r="M102" i="2" s="1"/>
  <c r="N30" i="4"/>
  <c r="I24" i="2" s="1"/>
  <c r="G102" i="2"/>
  <c r="I21" i="2"/>
  <c r="N110" i="4"/>
  <c r="N66" i="4"/>
  <c r="N92" i="4" l="1"/>
  <c r="N96" i="4" s="1"/>
  <c r="N103" i="4" s="1"/>
  <c r="N119" i="4"/>
  <c r="N122" i="4" s="1"/>
  <c r="J149" i="4"/>
  <c r="J150" i="4" s="1"/>
  <c r="K149" i="4"/>
  <c r="K150" i="4" s="1"/>
  <c r="L149" i="4"/>
  <c r="L150" i="4" s="1"/>
  <c r="M149" i="4"/>
  <c r="M150" i="4" s="1"/>
  <c r="N149" i="4"/>
  <c r="N150" i="4" s="1"/>
  <c r="N152" i="4"/>
  <c r="N189" i="4"/>
  <c r="O24" i="2" s="1"/>
  <c r="N188" i="4"/>
  <c r="G256" i="4"/>
  <c r="J77" i="2" s="1"/>
  <c r="H256" i="4"/>
  <c r="K77" i="2" s="1"/>
  <c r="I256" i="4"/>
  <c r="L77" i="2" s="1"/>
  <c r="E252" i="4"/>
  <c r="G254" i="4"/>
  <c r="J75" i="2" s="1"/>
  <c r="I254" i="4"/>
  <c r="L75" i="2" s="1"/>
  <c r="E255" i="4"/>
  <c r="H76" i="2" s="1"/>
  <c r="G255" i="4"/>
  <c r="J76" i="2" s="1"/>
  <c r="F252" i="4"/>
  <c r="I73" i="2" s="1"/>
  <c r="H252" i="4"/>
  <c r="K73" i="2" s="1"/>
  <c r="I252" i="4"/>
  <c r="L73" i="2" s="1"/>
  <c r="E253" i="4"/>
  <c r="H74" i="2" s="1"/>
  <c r="F253" i="4"/>
  <c r="I74" i="2" s="1"/>
  <c r="H253" i="4"/>
  <c r="K74" i="2" s="1"/>
  <c r="I253" i="4"/>
  <c r="L74" i="2" s="1"/>
  <c r="E254" i="4"/>
  <c r="H75" i="2" s="1"/>
  <c r="F254" i="4"/>
  <c r="I75" i="2" s="1"/>
  <c r="H254" i="4"/>
  <c r="K75" i="2" s="1"/>
  <c r="F255" i="4"/>
  <c r="I76" i="2" s="1"/>
  <c r="G252" i="4"/>
  <c r="J73" i="2" s="1"/>
  <c r="G253" i="4"/>
  <c r="J74" i="2" s="1"/>
  <c r="H255" i="4"/>
  <c r="K76" i="2" s="1"/>
  <c r="I255" i="4"/>
  <c r="L76" i="2" s="1"/>
  <c r="E256" i="4"/>
  <c r="H77" i="2" s="1"/>
  <c r="F256" i="4"/>
  <c r="I77" i="2" s="1"/>
  <c r="I23" i="2"/>
  <c r="N171" i="4"/>
  <c r="D43" i="1" s="1"/>
  <c r="F43" i="1" s="1"/>
  <c r="N153" i="4"/>
  <c r="N69" i="4"/>
  <c r="N101" i="4" s="1"/>
  <c r="N102" i="4" s="1"/>
  <c r="N190" i="4" l="1"/>
  <c r="O23" i="2"/>
  <c r="L252" i="4"/>
  <c r="L254" i="4"/>
  <c r="D262" i="4"/>
  <c r="E262" i="4"/>
  <c r="H73" i="2"/>
  <c r="N154" i="4"/>
  <c r="N155" i="4" s="1"/>
  <c r="N158" i="4" s="1"/>
  <c r="N160" i="4" s="1"/>
  <c r="N134" i="4"/>
  <c r="I22" i="2"/>
  <c r="K102" i="2"/>
  <c r="D61" i="2" l="1"/>
  <c r="Y61" i="2"/>
  <c r="E61" i="2"/>
  <c r="Z61" i="2"/>
  <c r="O19" i="2"/>
  <c r="O10" i="2"/>
  <c r="L253" i="4"/>
  <c r="L200" i="4"/>
  <c r="L201" i="4" s="1"/>
  <c r="O22" i="2" s="1"/>
  <c r="N162" i="4"/>
  <c r="C14" i="2" s="1"/>
  <c r="N102" i="2"/>
  <c r="N135" i="4"/>
  <c r="N74" i="4" l="1"/>
  <c r="N79" i="4" l="1"/>
  <c r="N85" i="4" s="1"/>
  <c r="N104" i="4" s="1"/>
  <c r="N136" i="4"/>
  <c r="D38" i="1" l="1"/>
  <c r="F38" i="1" s="1"/>
  <c r="E46" i="1" s="1"/>
  <c r="N166" i="4"/>
  <c r="N172" i="4" s="1"/>
  <c r="K10" i="2" s="1"/>
  <c r="D39" i="1"/>
  <c r="F39" i="1" s="1"/>
  <c r="N16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tc={BACCC122-D096-C1D4-9657-F2665EA8F196}</author>
    <author>tc={8206A64F-41AF-5FAF-A1F7-6E640C18D94C}</author>
    <author>tc={C00A2419-AD29-0758-3470-F0DC52EEA642}</author>
    <author>tc={2C12C13E-08B9-D5AF-6078-5232D2D1BBCC}</author>
    <author>tc={FB216920-BFD6-AF13-CFD9-62D06EF7ACEC}</author>
    <author>tc={069056EB-8F36-A6A3-7022-8CDCFF8B9AF2}</author>
  </authors>
  <commentList>
    <comment ref="C10"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Interactive scenario dropdown. The selected case flows to Inputs, Model and all Dashboard outputs without macros.</t>
      </text>
    </comment>
    <comment ref="G10"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Circularity / interest-convention dropdown. OFF uses opening balances. ON uses average debt and short-term-investment balances while retaining opening cash to avoid an unstable iterative circular reference.</t>
      </text>
    </comment>
    <comment ref="D30"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Independent revenue-growth overlay. Down/Base/Up applies -2.0%/0.0%/+2.0% to every forecast year on top of the master scenario.</t>
      </text>
    </comment>
    <comment ref="D31"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Independent pricing/gross-margin overlay. Down/Base/Up applies -1.0%/0.0%/+1.0% to every forecast year.</t>
      </text>
    </comment>
    <comment ref="D32"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Independent capex-intensity overlay. Down/Base/Up applies -0.5%/0.0%/+0.5% of revenue.</t>
      </text>
    </comment>
    <comment ref="D33" authorId="5" shapeId="0" xr:uid="{00000000-0006-0000-0100-000006000000}">
      <text>
        <t>[Threaded comment]
Your version of Excel allows you to read this threaded comment; however, any edits to it will get removed if the file is opened in a newer version of Excel. Learn more: https://go.microsoft.com/fwlink/?linkid=870924
Comment:
    Independent working-capital overlay. Down adds 3 days to DSO/inventory and subtracts 2 days from DPO; Up reverses those changes.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tc={7E8255C2-A984-509D-35FC-5633FF279A8A}</author>
    <author>tc={4C0A1CBE-CE5C-2577-D95B-F4CDEC3A9B05}</author>
    <author>tc={5697D332-F3E0-7F78-5B84-07B77643B879}</author>
    <author>tc={2788E144-D7B1-2FF1-30E5-69200CEFDCD2}</author>
    <author>tc={320850AC-870C-1992-EB08-F8298D466329}</author>
    <author>tc={9BE53CFE-552C-2BBB-AE0B-A9774ACFD12D}</author>
    <author>tc={F78C1802-ECA3-EFC7-DC08-4AE08D96615B}</author>
    <author>tc={72759916-6EFB-4EEF-2533-D79B103F2519}</author>
    <author>tc={D2B4B526-7115-8E17-87E4-A84203AE209D}</author>
    <author>tc={232D0174-04BC-F3FD-62CC-ACE537DFCEDE}</author>
    <author>tc={C3E2E7E9-07FB-F394-2581-E2CDC474C835}</author>
    <author>tc={092F50F6-4F58-B68A-74BA-A9BCAF33864D}</author>
  </authors>
  <commentList>
    <comment ref="E18" authorId="0" shapeId="0" xr:uid="{00000000-0006-0000-0200-000008000000}">
      <text>
        <t>[Threaded comment]
Your version of Excel allows you to read this threaded comment; however, any edits to it will get removed if the file is opened in a newer version of Excel. Learn more: https://go.microsoft.com/fwlink/?linkid=870924
Comment:
    FY2022 revenue growth is calculated from FY2022 revenue of $46,710mm and the reported FY2021 comparator of $44,538mm. Later historical growth cells calculate directly from the audited actuals table.</t>
      </text>
    </comment>
    <comment ref="D140" authorId="1" shapeId="0" xr:uid="{00000000-0006-0000-0200-000004000000}">
      <text>
        <t>[Threaded comment]
Your version of Excel allows you to read this threaded comment; however, any edits to it will get removed if the file is opened in a newer version of Excel. Learn more: https://go.microsoft.com/fwlink/?linkid=870924
Comment:
    Source M1: U.S. Treasury daily par yield curve. 10-year yield was 4.74% on 2026-08-21.</t>
      </text>
    </comment>
    <comment ref="D141" authorId="2" shapeId="0" xr:uid="{00000000-0006-0000-0200-000005000000}">
      <text>
        <t>[Threaded comment]
Your version of Excel allows you to read this threaded comment; however, any edits to it will get removed if the file is opened in a newer version of Excel. Learn more: https://go.microsoft.com/fwlink/?linkid=870924
Comment:
    Source M2: Aswath Damodaran / NYU Stern implied U.S. equity risk premium, 4.28% as of 2026-08-01.</t>
      </text>
    </comment>
    <comment ref="D143" authorId="3" shapeId="0" xr:uid="{00000000-0006-0000-0200-000006000000}">
      <text>
        <t>[Threaded comment]
Your version of Excel allows you to read this threaded comment; however, any edits to it will get removed if the file is opened in a newer version of Excel. Learn more: https://go.microsoft.com/fwlink/?linkid=870924
Comment:
    Assumption: marginal debt cost equals the 4.74% risk-free rate plus a 0.60% credit spread. Sensitivity-test this spread.</t>
      </text>
    </comment>
    <comment ref="D146" authorId="4"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Analyst assumption: long-run nominal growth used in the Gordon Growth terminal value.</t>
      </text>
    </comment>
    <comment ref="M146" authorId="5" shapeId="0" xr:uid="{00000000-0006-0000-0200-000007000000}">
      <text>
        <t>[Threaded comment]
Your version of Excel allows you to read this threaded comment; however, any edits to it will get removed if the file is opened in a newer version of Excel. Learn more: https://go.microsoft.com/fwlink/?linkid=870924
Comment:
    Precedent transactions are a reference cross-check only. Default weight is 0% because the targets are smaller and prices include control premiums.</t>
      </text>
    </comment>
    <comment ref="D147" authorId="6"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Analyst assumption: hurdle rate applied to Project Next Run NPV and XIRR comparison.</t>
      </text>
    </comment>
    <comment ref="D152" authorId="7"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Market snapshot as of 2026-08-21. Update before using the valuation for a later date.</t>
      </text>
    </comment>
    <comment ref="M152" authorId="8" shapeId="0" xr:uid="{00000000-0006-0000-0200-00000B000000}">
      <text>
        <t>[Threaded comment]
Your version of Excel allows you to read this threaded comment; however, any edits to it will get removed if the file is opened in a newer version of Excel. Learn more: https://go.microsoft.com/fwlink/?linkid=870924
Comment:
    Analyst assumption, not reported actual: tax depreciation is modeled at 1.10x book D&amp;A to show temporary timing differences. NIKE does not separately disclose tax depreciation in the annual report.</t>
      </text>
    </comment>
    <comment ref="M154" authorId="9" shapeId="0" xr:uid="{00000000-0006-0000-0200-00000C000000}">
      <text>
        <t>[Threaded comment]
Your version of Excel allows you to read this threaded comment; however, any edits to it will get removed if the file is opened in a newer version of Excel. Learn more: https://go.microsoft.com/fwlink/?linkid=870924
Comment:
    Source S7: 315.388mm Class A plus 1,202.111mm Class B shares outstanding as of 2026-07-08. This is distinct from FY2026 diluted weighted-average shares used for historical EPS.</t>
      </text>
    </comment>
    <comment ref="H223" authorId="10" shapeId="0" xr:uid="{00000000-0006-0000-0200-000009000000}">
      <text>
        <t>[Threaded comment]
Your version of Excel allows you to read this threaded comment; however, any edits to it will get removed if the file is opened in a newer version of Excel. Learn more: https://go.microsoft.com/fwlink/?linkid=870924
Comment:
    adidas remains visible as a core global sportswear trading comparable. FY2025 operating data is sourced from the official adidas Annual Report 2025; the valuation multiple uses the dated market snapshot in the peer table.</t>
      </text>
    </comment>
    <comment ref="H224" authorId="11" shapeId="0" xr:uid="{00000000-0006-0000-0200-00000A000000}">
      <text>
        <t>[Threaded comment]
Your version of Excel allows you to read this threaded comment; however, any edits to it will get removed if the file is opened in a newer version of Excel. Learn more: https://go.microsoft.com/fwlink/?linkid=870924
Comment:
    PUMA remains visible as a core global sportswear trading comparable. P/E is N/M because PUMA reported a FY2025 attributable net loss; it is not silently excluded from the peer list.</t>
      </text>
    </comment>
  </commentList>
</comments>
</file>

<file path=xl/sharedStrings.xml><?xml version="1.0" encoding="utf-8"?>
<sst xmlns="http://schemas.openxmlformats.org/spreadsheetml/2006/main" count="1961" uniqueCount="802">
  <si>
    <t>NIKE'S NEXT RUN</t>
  </si>
  <si>
    <t>Integrated Three-Statement, Scenario &amp; Valuation Model | Prepared by Daniel Sibanda</t>
  </si>
  <si>
    <t>Board-level analysis of Nike's operating recovery, capital allocation and shareholder value creation.</t>
  </si>
  <si>
    <t>MODEL OVERVIEW</t>
  </si>
  <si>
    <t>Company</t>
  </si>
  <si>
    <t>NIKE, Inc. (NYSE: NKE)</t>
  </si>
  <si>
    <t>Fiscal year end</t>
  </si>
  <si>
    <t>May 31</t>
  </si>
  <si>
    <t>Model periods</t>
  </si>
  <si>
    <t>FY2022A–FY2031F</t>
  </si>
  <si>
    <t>Currency / units</t>
  </si>
  <si>
    <t>USD millions, except per-share data</t>
  </si>
  <si>
    <t>Valuation date</t>
  </si>
  <si>
    <t>2026-08-21</t>
  </si>
  <si>
    <t>Prepared by</t>
  </si>
  <si>
    <t>Daniel Sibanda</t>
  </si>
  <si>
    <t>TABLE OF CONTENTS</t>
  </si>
  <si>
    <t>Worksheet</t>
  </si>
  <si>
    <t>Purpose</t>
  </si>
  <si>
    <t>Model Area</t>
  </si>
  <si>
    <t>Navigation</t>
  </si>
  <si>
    <t>Cover</t>
  </si>
  <si>
    <t>Instructions, checks, sources and disclaimer</t>
  </si>
  <si>
    <t>Control</t>
  </si>
  <si>
    <t>Dashboard</t>
  </si>
  <si>
    <t>Executive outputs, KPIs, charts and recommendation</t>
  </si>
  <si>
    <t>Output</t>
  </si>
  <si>
    <t>Inputs</t>
  </si>
  <si>
    <t>Scenario drivers, historical data and source links</t>
  </si>
  <si>
    <t>Input</t>
  </si>
  <si>
    <t>Model</t>
  </si>
  <si>
    <t>Integrated statements, DCF and investment appraisal</t>
  </si>
  <si>
    <t>Calculation</t>
  </si>
  <si>
    <t>MODELING CONVENTIONS &amp; INSTRUCTIONS</t>
  </si>
  <si>
    <t>1</t>
  </si>
  <si>
    <t>Blue font</t>
  </si>
  <si>
    <t>Hardcoded filing data and analyst assumptions. Status and source fields identify what is reported, derived or combined.</t>
  </si>
  <si>
    <t>2</t>
  </si>
  <si>
    <t>Black font</t>
  </si>
  <si>
    <t>All formulas and calculations are black, including formulas linked to another worksheet.</t>
  </si>
  <si>
    <t>3</t>
  </si>
  <si>
    <t>Actual / Forecast</t>
  </si>
  <si>
    <t>Gray columns are actuals; light-blue columns are forecasts.</t>
  </si>
  <si>
    <t>4</t>
  </si>
  <si>
    <t>Sign convention</t>
  </si>
  <si>
    <t>Negative figures display in brackets; zeros display as a dash.</t>
  </si>
  <si>
    <t>5</t>
  </si>
  <si>
    <t>Scenario controls</t>
  </si>
  <si>
    <t>Use the Dashboard master scenario plus the four independent driver switches for revenue, pricing / margin, capex and working capital.</t>
  </si>
  <si>
    <t>6</t>
  </si>
  <si>
    <t>Circularity switch</t>
  </si>
  <si>
    <t>Default is OFF. ON uses average debt and short-term-investment balances for interest; opening cash is retained to keep the workbook stable and non-iterative.</t>
  </si>
  <si>
    <t>7</t>
  </si>
  <si>
    <t>NPV / XIRR</t>
  </si>
  <si>
    <t>Project appraisal uses Excel NPV and date-specific XIRR formulas.</t>
  </si>
  <si>
    <t>8</t>
  </si>
  <si>
    <t>Column A is intentionally blank; use the header and table-of-contents links.</t>
  </si>
  <si>
    <t>MODEL CHECKS</t>
  </si>
  <si>
    <t>Check</t>
  </si>
  <si>
    <t>Result</t>
  </si>
  <si>
    <t>Tolerance</t>
  </si>
  <si>
    <t>Status</t>
  </si>
  <si>
    <t>Balance sheet</t>
  </si>
  <si>
    <t>Cash flow reconciliation</t>
  </si>
  <si>
    <t>Debt roll-forward</t>
  </si>
  <si>
    <t>PP&amp;E roll-forward</t>
  </si>
  <si>
    <t>Scenario selection</t>
  </si>
  <si>
    <t>DCF bridge</t>
  </si>
  <si>
    <t>Circularity control</t>
  </si>
  <si>
    <t>0 or 1</t>
  </si>
  <si>
    <t>Historical filing reconciliation</t>
  </si>
  <si>
    <t>OVERALL MODEL STATUS</t>
  </si>
  <si>
    <t>DISCLAIMER</t>
  </si>
  <si>
    <t>This workbook is an independent educational and portfolio analysis prepared by Daniel Sibanda. Historical information is drawn from publicly available NIKE, Inc. SEC filings and investor materials. Forecasts, scenarios, valuation assumptions and Project Next Run economics are analyst assumptions and do not represent company guidance. This model is not investment advice and should not be relied upon for securities trading or other investment decisions.</t>
  </si>
  <si>
    <t>VERSION HISTORY</t>
  </si>
  <si>
    <t>Version</t>
  </si>
  <si>
    <t>Date</t>
  </si>
  <si>
    <t>Change summary</t>
  </si>
  <si>
    <t>1.0</t>
  </si>
  <si>
    <t>Initial integrated three-statement, DCF, project NPV/XIRR and trading comps model</t>
  </si>
  <si>
    <t>1.1</t>
  </si>
  <si>
    <t>2026-08-22</t>
  </si>
  <si>
    <t>Filing audit, full historical cash-flow detail, assumption register, Dashboard dropdown and precedent transactions</t>
  </si>
  <si>
    <t>1.2</t>
  </si>
  <si>
    <t>Institutional valuation set, driver switches, tax/share schedules, sensitivity grid and football-field analysis</t>
  </si>
  <si>
    <t>1.3</t>
  </si>
  <si>
    <t>Rebuilt controls and dashboard; populated historical drivers; made Adidas and Puma visible; added a native floating football-field chart</t>
  </si>
  <si>
    <t>NIKE'S NEXT RUN — EXECUTIVE DASHBOARD</t>
  </si>
  <si>
    <t>Operating Recovery, Scenario Performance &amp; Valuation | Prepared by Daniel Sibanda</t>
  </si>
  <si>
    <t>EXECUTIVE DECISION SUMMARY</t>
  </si>
  <si>
    <t>SCENARIO ▼</t>
  </si>
  <si>
    <t>CIRCULARITY SWITCH ▼</t>
  </si>
  <si>
    <t>MODEL STATUS</t>
  </si>
  <si>
    <t>DCF VALUE / SHARE</t>
  </si>
  <si>
    <t>CURRENT PRICE</t>
  </si>
  <si>
    <t>Next Run</t>
  </si>
  <si>
    <t>OFF</t>
  </si>
  <si>
    <t>FINANCIAL OUTLOOK — SAME-YEAR COLUMN ALIGNMENT</t>
  </si>
  <si>
    <t>Metric</t>
  </si>
  <si>
    <t>2026A</t>
  </si>
  <si>
    <t>2027F</t>
  </si>
  <si>
    <t>2028F</t>
  </si>
  <si>
    <t>2029F</t>
  </si>
  <si>
    <t>2030F</t>
  </si>
  <si>
    <t>2031F</t>
  </si>
  <si>
    <t>Valuation method</t>
  </si>
  <si>
    <t>Value / share</t>
  </si>
  <si>
    <t>Revenue</t>
  </si>
  <si>
    <t>DCF</t>
  </si>
  <si>
    <t>EBIT</t>
  </si>
  <si>
    <t>P/E comparables</t>
  </si>
  <si>
    <t>Net income</t>
  </si>
  <si>
    <t>Precedent transactions</t>
  </si>
  <si>
    <t>Cash from operations</t>
  </si>
  <si>
    <t>Blended</t>
  </si>
  <si>
    <t>Unlevered FCF</t>
  </si>
  <si>
    <t>Project NPV ($mm)</t>
  </si>
  <si>
    <t>Diluted EPS</t>
  </si>
  <si>
    <t>Project XIRR</t>
  </si>
  <si>
    <t>INDEPENDENT DRIVER SWITCHES — SELECT BLUE CELLS ▼</t>
  </si>
  <si>
    <t>Driver</t>
  </si>
  <si>
    <t>Switch</t>
  </si>
  <si>
    <t>Applied adjustment</t>
  </si>
  <si>
    <t>Model impact</t>
  </si>
  <si>
    <t>Revenue growth</t>
  </si>
  <si>
    <t>Base</t>
  </si>
  <si>
    <t>Forecast revenue growth</t>
  </si>
  <si>
    <t>Pricing / gross margin</t>
  </si>
  <si>
    <t>Gross margin</t>
  </si>
  <si>
    <t>Capex intensity</t>
  </si>
  <si>
    <t>Capex / revenue</t>
  </si>
  <si>
    <t>Working-capital efficiency</t>
  </si>
  <si>
    <t>DSO and inventory days; DPO moves inversely</t>
  </si>
  <si>
    <t>INCOME STATEMENT &amp; CASH FLOW VISUALS</t>
  </si>
  <si>
    <t>FLOATING FOOTBALL FIELD — IMPLIED VALUE / SHARE</t>
  </si>
  <si>
    <t>Method</t>
  </si>
  <si>
    <t>Low</t>
  </si>
  <si>
    <t>High</t>
  </si>
  <si>
    <t>Trading comps</t>
  </si>
  <si>
    <t>Precedents</t>
  </si>
  <si>
    <t>52-week range</t>
  </si>
  <si>
    <t>Current price</t>
  </si>
  <si>
    <t>Precedent ranges include transaction control premiums; no separate premium is added.</t>
  </si>
  <si>
    <t>DCF SENSITIVITY — TERMINAL GROWTH VS WACC</t>
  </si>
  <si>
    <t>Terminal growth / WACC</t>
  </si>
  <si>
    <t>AUDIT NOTE
The sensitivity table fully recalculates explicit forecast cash flows, terminal value, the net-debt bridge and forecast diluted shares for every WACC / terminal-growth pair. It is not a percentage applied to the final answer.</t>
  </si>
  <si>
    <t>KEY RISKS &amp; MANAGEMENT TRIGGERS</t>
  </si>
  <si>
    <t>Risk</t>
  </si>
  <si>
    <t>Trigger</t>
  </si>
  <si>
    <t>Management response</t>
  </si>
  <si>
    <t>Revenue recovery</t>
  </si>
  <si>
    <t>&lt; 2% for two periods</t>
  </si>
  <si>
    <t>Reset inventory buys and demand allocation</t>
  </si>
  <si>
    <t>Margin quality</t>
  </si>
  <si>
    <t>&lt; 43% by FY2028F</t>
  </si>
  <si>
    <t>Accelerate full-price mix and sourcing savings</t>
  </si>
  <si>
    <t>Capital efficiency</t>
  </si>
  <si>
    <t>Below hurdle rate</t>
  </si>
  <si>
    <t>Pause later investment tranches</t>
  </si>
  <si>
    <t>Tax timing</t>
  </si>
  <si>
    <t>Cash tax / book tax</t>
  </si>
  <si>
    <t>Deferred tax build exceeds plan</t>
  </si>
  <si>
    <t>Refresh tax-depreciation proxy with tax team</t>
  </si>
  <si>
    <t>Year</t>
  </si>
  <si>
    <t>Gross profit</t>
  </si>
  <si>
    <t>Operating</t>
  </si>
  <si>
    <t>Investing</t>
  </si>
  <si>
    <t>Financing</t>
  </si>
  <si>
    <t>Change in cash</t>
  </si>
  <si>
    <t>NIKE'S NEXT RUN — INPUTS</t>
  </si>
  <si>
    <t>Historical Data, Scenario Drivers, Evidence Register &amp; Valuation Assumptions | Prepared by Daniel Sibanda</t>
  </si>
  <si>
    <t>MODEL CONTROLS</t>
  </si>
  <si>
    <t>Selected scenario</t>
  </si>
  <si>
    <t>Driver overlay</t>
  </si>
  <si>
    <t>Selected adjustment</t>
  </si>
  <si>
    <t>Circularity / interest convention</t>
  </si>
  <si>
    <t>Gross margin / pricing</t>
  </si>
  <si>
    <t>USD millions</t>
  </si>
  <si>
    <t>Forecast start</t>
  </si>
  <si>
    <t>FY2027F</t>
  </si>
  <si>
    <t>DSO / inventory days</t>
  </si>
  <si>
    <t>Forecast end</t>
  </si>
  <si>
    <t>FY2031F</t>
  </si>
  <si>
    <t>DPO days</t>
  </si>
  <si>
    <t>Historical drivers (FY2022A–FY2026A) are formula-derived from audited actuals below. Forecast drivers (FY2027F–FY2031F) are selected by the Dashboard scenario and driver dropdowns.</t>
  </si>
  <si>
    <t>SELECTED SCENARIO DRIVERS</t>
  </si>
  <si>
    <t>Units</t>
  </si>
  <si>
    <t>2022A</t>
  </si>
  <si>
    <t>2023A</t>
  </si>
  <si>
    <t>2024A</t>
  </si>
  <si>
    <t>2025A</t>
  </si>
  <si>
    <t>%</t>
  </si>
  <si>
    <t>Demand creation / revenue</t>
  </si>
  <si>
    <t>Operating overhead / revenue</t>
  </si>
  <si>
    <t>DSO</t>
  </si>
  <si>
    <t>Days</t>
  </si>
  <si>
    <t>Inventory days</t>
  </si>
  <si>
    <t>DPO</t>
  </si>
  <si>
    <t>Prepaids / revenue</t>
  </si>
  <si>
    <t>Other assets / revenue</t>
  </si>
  <si>
    <t>Accrued liabilities / revenue</t>
  </si>
  <si>
    <t>Other liabilities / revenue</t>
  </si>
  <si>
    <t>D&amp;A / revenue</t>
  </si>
  <si>
    <t>Stock compensation / revenue</t>
  </si>
  <si>
    <t>Dividend payout</t>
  </si>
  <si>
    <t>Share repurchases</t>
  </si>
  <si>
    <t>$mm</t>
  </si>
  <si>
    <t>Debt repayment</t>
  </si>
  <si>
    <t>Stock issuance</t>
  </si>
  <si>
    <t>Short-term investments / revenue</t>
  </si>
  <si>
    <t>Lease assets / revenue</t>
  </si>
  <si>
    <t>DOWNSIDE SCENARIO</t>
  </si>
  <si>
    <t>STABILIZATION SCENARIO</t>
  </si>
  <si>
    <t>NEXT RUN SCENARIO</t>
  </si>
  <si>
    <t>ACCELERATED SCENARIO</t>
  </si>
  <si>
    <t>VALUATION &amp; PROJECT ASSUMPTIONS</t>
  </si>
  <si>
    <t>Risk-free rate</t>
  </si>
  <si>
    <t>Project driver</t>
  </si>
  <si>
    <t>Additional model assumption</t>
  </si>
  <si>
    <t>Value</t>
  </si>
  <si>
    <t>NKE market range</t>
  </si>
  <si>
    <t>Equity risk premium</t>
  </si>
  <si>
    <t>Investment ($mm)</t>
  </si>
  <si>
    <t>Current debt / notes balance</t>
  </si>
  <si>
    <t>52-week low</t>
  </si>
  <si>
    <t>Beta</t>
  </si>
  <si>
    <t>Incremental revenue uplift</t>
  </si>
  <si>
    <t>Current lease liability / lease asset</t>
  </si>
  <si>
    <t>52-week high</t>
  </si>
  <si>
    <t>Pre-tax cost of debt</t>
  </si>
  <si>
    <t>Project dates</t>
  </si>
  <si>
    <t>Taxes payable / tax expense</t>
  </si>
  <si>
    <t>Debt weight</t>
  </si>
  <si>
    <t>DCF valuation weight</t>
  </si>
  <si>
    <t>Equity weight</t>
  </si>
  <si>
    <t>Trading comps weight</t>
  </si>
  <si>
    <t>DCF terminal growth</t>
  </si>
  <si>
    <t>Precedent transactions weight</t>
  </si>
  <si>
    <t>Project discount rate</t>
  </si>
  <si>
    <t>Repurchase price growth</t>
  </si>
  <si>
    <t>Project initial investment</t>
  </si>
  <si>
    <t>Employee share issuance (mm)</t>
  </si>
  <si>
    <t>Project residual-value multiple</t>
  </si>
  <si>
    <t>Other non-operating expense</t>
  </si>
  <si>
    <t>Incremental EBIT margin</t>
  </si>
  <si>
    <t>DCF approval upside threshold</t>
  </si>
  <si>
    <t>Incremental NWC / revenue</t>
  </si>
  <si>
    <t>U.S. statutory tax rate</t>
  </si>
  <si>
    <t>Current NKE share price</t>
  </si>
  <si>
    <t>Tax depreciation / book D&amp;A</t>
  </si>
  <si>
    <t>Current NKE market cap</t>
  </si>
  <si>
    <t>Permanent differences / PBT</t>
  </si>
  <si>
    <t>Forecast effective tax rate</t>
  </si>
  <si>
    <t>Current basic shares outstanding (mm)</t>
  </si>
  <si>
    <t>Cash / investment yield</t>
  </si>
  <si>
    <t>Tax depreciation method</t>
  </si>
  <si>
    <t>Accelerated proxy</t>
  </si>
  <si>
    <t>HISTORICAL FINANCIAL DATA — REPORTED / DERIVED ACTUALS</t>
  </si>
  <si>
    <t>Historical line item</t>
  </si>
  <si>
    <t>Classification</t>
  </si>
  <si>
    <t>Source ID</t>
  </si>
  <si>
    <t>Definition / treatment</t>
  </si>
  <si>
    <t>Reported</t>
  </si>
  <si>
    <t>S1/S2/S3</t>
  </si>
  <si>
    <t>Directly transcribed from audited statements or cash-flow footnotes</t>
  </si>
  <si>
    <t>Cost of sales</t>
  </si>
  <si>
    <t>Demand creation expense</t>
  </si>
  <si>
    <t>Operating overhead expense</t>
  </si>
  <si>
    <t>Interest expense (income), net</t>
  </si>
  <si>
    <t>Other (income) expense, net</t>
  </si>
  <si>
    <t>Income before taxes</t>
  </si>
  <si>
    <t>Income tax expense</t>
  </si>
  <si>
    <t>$/share</t>
  </si>
  <si>
    <t>Diluted shares</t>
  </si>
  <si>
    <t>mm</t>
  </si>
  <si>
    <t>Depreciation &amp; amortization</t>
  </si>
  <si>
    <t>FY2022A–FY2024A filing caption is Depreciation; FY2025A–FY2026A is Depreciation and amortization</t>
  </si>
  <si>
    <t>Stock-based compensation</t>
  </si>
  <si>
    <t>Deferred income taxes</t>
  </si>
  <si>
    <t>Impairment, amortization &amp; other noncash</t>
  </si>
  <si>
    <t>Net foreign currency adjustments</t>
  </si>
  <si>
    <t>Operating cash impact — accounts receivable</t>
  </si>
  <si>
    <t>Operating cash impact — inventories</t>
  </si>
  <si>
    <t>Operating cash impact — prepaids, ROU &amp; other assets</t>
  </si>
  <si>
    <t>Operating cash impact — AP, accrued, leases &amp; other liabilities</t>
  </si>
  <si>
    <t>Capital expenditures</t>
  </si>
  <si>
    <t>Cash from investing</t>
  </si>
  <si>
    <t>Debt &amp; notes cash activity</t>
  </si>
  <si>
    <t>Stock issuance &amp; other financing</t>
  </si>
  <si>
    <t>Derived / combined</t>
  </si>
  <si>
    <t>Derived as reported CFF less debt activity, dividends and repurchases; component lines remain filing-backed</t>
  </si>
  <si>
    <t>Dividends paid</t>
  </si>
  <si>
    <t>Cash from financing</t>
  </si>
  <si>
    <t>Effect of exchange rates on cash</t>
  </si>
  <si>
    <t>Net change in cash</t>
  </si>
  <si>
    <t>Beginning cash</t>
  </si>
  <si>
    <t>Ending cash per cash flow statement</t>
  </si>
  <si>
    <t>Cash &amp; equivalents</t>
  </si>
  <si>
    <t>Short-term investments</t>
  </si>
  <si>
    <t>Accounts receivable</t>
  </si>
  <si>
    <t>Inventories</t>
  </si>
  <si>
    <t>Prepaid &amp; other current assets</t>
  </si>
  <si>
    <t>PP&amp;E, net</t>
  </si>
  <si>
    <t>Operating lease assets</t>
  </si>
  <si>
    <t>Intangibles</t>
  </si>
  <si>
    <t>Goodwill</t>
  </si>
  <si>
    <t>Deferred tax &amp; other assets</t>
  </si>
  <si>
    <t>Total assets</t>
  </si>
  <si>
    <t>Current debt &amp; notes payable</t>
  </si>
  <si>
    <t>Reported / combined</t>
  </si>
  <si>
    <t>Combines notes payable and current portion of long-term debt where both are presented</t>
  </si>
  <si>
    <t>Accounts payable</t>
  </si>
  <si>
    <t>Current lease liabilities</t>
  </si>
  <si>
    <t>Accrued liabilities</t>
  </si>
  <si>
    <t>Income taxes payable</t>
  </si>
  <si>
    <t>Long-term debt</t>
  </si>
  <si>
    <t>Long-term lease liabilities</t>
  </si>
  <si>
    <t>Deferred tax &amp; other liabilities</t>
  </si>
  <si>
    <t>Common stock</t>
  </si>
  <si>
    <t>APIC</t>
  </si>
  <si>
    <t>AOCI</t>
  </si>
  <si>
    <t>Retained earnings (deficit)</t>
  </si>
  <si>
    <t>Total shareholders' equity</t>
  </si>
  <si>
    <t>Total liabilities &amp; equity</t>
  </si>
  <si>
    <t>TRADING COMPARABLES — MARKET SNAPSHOT</t>
  </si>
  <si>
    <t>Ticker</t>
  </si>
  <si>
    <t>Peer tier</t>
  </si>
  <si>
    <t>Price</t>
  </si>
  <si>
    <t>Market Cap ($mm)</t>
  </si>
  <si>
    <t>P/E</t>
  </si>
  <si>
    <t>P/E status</t>
  </si>
  <si>
    <t>Source URL</t>
  </si>
  <si>
    <t>Fit / limitation</t>
  </si>
  <si>
    <t>NIKE</t>
  </si>
  <si>
    <t>NKE</t>
  </si>
  <si>
    <t>Target</t>
  </si>
  <si>
    <t>Positive</t>
  </si>
  <si>
    <t>https://finance.yahoo.com/quote/NKE/</t>
  </si>
  <si>
    <t>Target company — excluded from peer statistics</t>
  </si>
  <si>
    <t>adidas</t>
  </si>
  <si>
    <t>ADDYY</t>
  </si>
  <si>
    <t>Core</t>
  </si>
  <si>
    <t>https://finance.yahoo.com/quote/ADDYY/</t>
  </si>
  <si>
    <t>Closest global athletic footwear and apparel competitor</t>
  </si>
  <si>
    <t>PUMA</t>
  </si>
  <si>
    <t>PUMSY</t>
  </si>
  <si>
    <t>N/M</t>
  </si>
  <si>
    <t>Loss-making</t>
  </si>
  <si>
    <t>https://finance.yahoo.com/quote/PUMSY/</t>
  </si>
  <si>
    <t>Global sportswear peer; P/E excluded because TTM earnings are negative</t>
  </si>
  <si>
    <t>Lululemon</t>
  </si>
  <si>
    <t>LULU</t>
  </si>
  <si>
    <t>Secondary</t>
  </si>
  <si>
    <t>https://finance.yahoo.com/quote/LULU/</t>
  </si>
  <si>
    <t>Premium athletic apparel and DTC economics; narrower product mix</t>
  </si>
  <si>
    <t>Deckers</t>
  </si>
  <si>
    <t>DECK</t>
  </si>
  <si>
    <t>https://finance.yahoo.com/quote/DECK/</t>
  </si>
  <si>
    <t>Global footwear portfolio including HOKA; strong performance-footwear relevance</t>
  </si>
  <si>
    <t>On Holding</t>
  </si>
  <si>
    <t>ONON</t>
  </si>
  <si>
    <t>Provider N/M</t>
  </si>
  <si>
    <t>https://finance.yahoo.com/quote/ONON/</t>
  </si>
  <si>
    <t>Premium performance-running challenger; provider P/E unavailable in snapshot</t>
  </si>
  <si>
    <t>Crocs</t>
  </si>
  <si>
    <t>CROX</t>
  </si>
  <si>
    <t>https://finance.yahoo.com/quote/CROX/</t>
  </si>
  <si>
    <t>Branded footwear and wholesale/DTC mix; less performance-sport exposure</t>
  </si>
  <si>
    <t>Under Armour</t>
  </si>
  <si>
    <t>UAA</t>
  </si>
  <si>
    <t>https://finance.yahoo.com/quote/UAA/</t>
  </si>
  <si>
    <t>Athletic apparel peer; P/E excluded because TTM earnings are negative</t>
  </si>
  <si>
    <t>Peer median positive P/E</t>
  </si>
  <si>
    <t>Peer low positive P/E</t>
  </si>
  <si>
    <t>Peer high positive P/E</t>
  </si>
  <si>
    <t>SOURCE LOG &amp; DIRECT LINKS</t>
  </si>
  <si>
    <t>Data used</t>
  </si>
  <si>
    <t>Periods</t>
  </si>
  <si>
    <t>Publisher</t>
  </si>
  <si>
    <t>Direct link</t>
  </si>
  <si>
    <t>Notes</t>
  </si>
  <si>
    <t>S1</t>
  </si>
  <si>
    <t>Income statement, balance sheet, cash flow and notes</t>
  </si>
  <si>
    <t>2024A–2026A</t>
  </si>
  <si>
    <t>SEC — NIKE FY2026 Form 10-K</t>
  </si>
  <si>
    <t>https://www.sec.gov/Archives/edgar/data/320187/000032018726000088/nke-20260531.htm</t>
  </si>
  <si>
    <t>Audited; filed 2026-07-15</t>
  </si>
  <si>
    <t>S2</t>
  </si>
  <si>
    <t>Income statement, balance sheet and cash flow</t>
  </si>
  <si>
    <t>2022A–2024A</t>
  </si>
  <si>
    <t>SEC — NIKE FY2024 Form 10-K</t>
  </si>
  <si>
    <t>https://www.sec.gov/Archives/edgar/data/320187/000032018724000044/nke-20240531.htm</t>
  </si>
  <si>
    <t>Audited; filed 2024-07-25</t>
  </si>
  <si>
    <t>S3</t>
  </si>
  <si>
    <t>FY2022 balance sheet confirmation</t>
  </si>
  <si>
    <t>2022A–2023A</t>
  </si>
  <si>
    <t>SEC — NIKE FY2023 Form 10-K</t>
  </si>
  <si>
    <t>https://www.sec.gov/Archives/edgar/data/320187/000032018723000039/nke-20230531.htm</t>
  </si>
  <si>
    <t>Audited; filed 2023-07-20</t>
  </si>
  <si>
    <t>S4</t>
  </si>
  <si>
    <t>Channel trends, FY2026 operating context</t>
  </si>
  <si>
    <t>NIKE Investor Relations</t>
  </si>
  <si>
    <t>https://investors.nike.com/investors/news-events-and-reports/investor-news/investor-news-details/2026/NIKE-Inc--Reports-Fiscal-2026-Fourth-Quarter-and-Full-Year-Results/default.aspx</t>
  </si>
  <si>
    <t>FY2026 results release</t>
  </si>
  <si>
    <t>S5</t>
  </si>
  <si>
    <t>Market prices, market caps and P/E snapshots</t>
  </si>
  <si>
    <t>Market quote pages</t>
  </si>
  <si>
    <t>NKE, LULU, DECK, ONON, UAA and CROX snapshot values; update before use</t>
  </si>
  <si>
    <t>S6A</t>
  </si>
  <si>
    <t>adidas operating data and peer classification</t>
  </si>
  <si>
    <t>adidas Annual Report 2025</t>
  </si>
  <si>
    <t>https://report.adidas-group.com/2025/en/at-a-glance/financial-highlights-2025.html</t>
  </si>
  <si>
    <t>Official results: €24,811mm net sales, €3,124mm EBITDA and €1,340mm attributable net income</t>
  </si>
  <si>
    <t>S6B</t>
  </si>
  <si>
    <t>PUMA operating data and peer classification</t>
  </si>
  <si>
    <t>PUMA Annual Report 2025</t>
  </si>
  <si>
    <t>https://annual-report.puma.com/2025/en/additional-information/puma-group-development/index.html</t>
  </si>
  <si>
    <t>Official results: €7,296.2mm sales and a €645.5mm attributable net loss; P/E is therefore not meaningful</t>
  </si>
  <si>
    <t>S7</t>
  </si>
  <si>
    <t>Current basic shares outstanding</t>
  </si>
  <si>
    <t>2026-07-08</t>
  </si>
  <si>
    <t>315.388mm Class A plus 1,202.111mm Class B = 1,517.499mm</t>
  </si>
  <si>
    <t>S8</t>
  </si>
  <si>
    <t>NKE 52-week price range</t>
  </si>
  <si>
    <t>Market quote page</t>
  </si>
  <si>
    <t>https://www.investing.com/equities/nike</t>
  </si>
  <si>
    <t>$38.86 low and $80.17 high</t>
  </si>
  <si>
    <t>M1</t>
  </si>
  <si>
    <t>10-year U.S. Treasury yield</t>
  </si>
  <si>
    <t>U.S. Department of the Treasury</t>
  </si>
  <si>
    <t>https://home.treasury.gov/resource-center/data-chart-center/interest-rates/TextView?field_tdr_date_value=2026&amp;type=daily_treasury_yield_curve</t>
  </si>
  <si>
    <t>4.74% at valuation date</t>
  </si>
  <si>
    <t>M2</t>
  </si>
  <si>
    <t>U.S. implied equity risk premium</t>
  </si>
  <si>
    <t>2026-08-01</t>
  </si>
  <si>
    <t>NYU Stern — Aswath Damodaran</t>
  </si>
  <si>
    <t>https://pages.stern.nyu.edu/~adamodar/</t>
  </si>
  <si>
    <t>4.28% published on 2026-08-01</t>
  </si>
  <si>
    <t>M3</t>
  </si>
  <si>
    <t>Long-run inflation anchor</t>
  </si>
  <si>
    <t>Long run</t>
  </si>
  <si>
    <t>Federal Reserve</t>
  </si>
  <si>
    <t>https://www.federalreserve.gov/monetarypolicy/monetary-policy-strategy-tools-and-communications-statement-on-longer-run-goals-monetary-policy-strategy-2025.htm</t>
  </si>
  <si>
    <t>2% longer-run inflation objective</t>
  </si>
  <si>
    <t>P0</t>
  </si>
  <si>
    <t>3G Capital / Skechers transaction value and premium</t>
  </si>
  <si>
    <t>2025</t>
  </si>
  <si>
    <t>Skechers / SEC</t>
  </si>
  <si>
    <t>https://www.sec.gov/Archives/edgar/data/1065837/000119312525112159/d943603dex991.htm</t>
  </si>
  <si>
    <t>$9.4bn transaction value; $63 cash price and 30% premium to 15-day VWAP; FY2024 revenue ~$9.0bn</t>
  </si>
  <si>
    <t>P1</t>
  </si>
  <si>
    <t>HEYDUDE acquisition EV and revenue</t>
  </si>
  <si>
    <t>2021</t>
  </si>
  <si>
    <t>Crocs Investor Relations</t>
  </si>
  <si>
    <t>https://investors.crocs.com/news-and-events/press-releases/press-release-details/2021/Crocs-Inc.-to-Acquire-Casual-Footwear-Brand-HEYDUDE/default.aspx</t>
  </si>
  <si>
    <t>$2.5bn consideration; $570mm projected 2021 revenue</t>
  </si>
  <si>
    <t>P2</t>
  </si>
  <si>
    <t>Authentic Brands / Reebok consideration and revenue</t>
  </si>
  <si>
    <t>adidas annual report</t>
  </si>
  <si>
    <t>https://report.adidas-group.com/2021/en/to-our-shareholders/letter-from-the-ceo.html</t>
  </si>
  <si>
    <t>Up to EUR2.1bn consideration; EUR1.409bn Reebok 2020 sales</t>
  </si>
  <si>
    <t>P3</t>
  </si>
  <si>
    <t>Supreme acquisition EV and expected revenue</t>
  </si>
  <si>
    <t>2020</t>
  </si>
  <si>
    <t>VF Corporation</t>
  </si>
  <si>
    <t>https://www.vfc.com/investors/news-events-presentations/press-releases/detail/1741/vf-corporation-completes-acquisition-of-supreme</t>
  </si>
  <si>
    <t>$2.1bn base price; at least $500mm expected revenue</t>
  </si>
  <si>
    <t>P4</t>
  </si>
  <si>
    <t>Timberland acquisition EV and expected revenue</t>
  </si>
  <si>
    <t>2011</t>
  </si>
  <si>
    <t>https://www.vfc.com/investors/news-events-presentations/press-releases/detail/1144/vf-to-acquire-the-timberland-company-for-43-per-share</t>
  </si>
  <si>
    <t>$2.0bn EV; $1.6bn expected revenue</t>
  </si>
  <si>
    <t>A1</t>
  </si>
  <si>
    <t>Forecast scenarios, WACC bridge, terminal growth and project assumptions</t>
  </si>
  <si>
    <t>2027F–2031F</t>
  </si>
  <si>
    <t>Daniel Sibanda analyst assumptions</t>
  </si>
  <si>
    <t>Analyst assumption</t>
  </si>
  <si>
    <t>Not company guidance; evidence and rationale are recorded below</t>
  </si>
  <si>
    <t>ACTUALS AUDIT &amp; RECONCILIATION</t>
  </si>
  <si>
    <t>Period</t>
  </si>
  <si>
    <t>Model / input</t>
  </si>
  <si>
    <t>Source benchmark</t>
  </si>
  <si>
    <t>Difference</t>
  </si>
  <si>
    <t>S2/S3</t>
  </si>
  <si>
    <t>Ending cash</t>
  </si>
  <si>
    <t>ASSUMPTION REGISTER — SELECTED SCENARIO &amp; VALUATION</t>
  </si>
  <si>
    <t>ID</t>
  </si>
  <si>
    <t>Driver / assumption</t>
  </si>
  <si>
    <t>Basis / justification</t>
  </si>
  <si>
    <t>Evidence benchmark</t>
  </si>
  <si>
    <t>Owner / reviewed</t>
  </si>
  <si>
    <t>D01</t>
  </si>
  <si>
    <t>FY2026 was flat; assumes wholesale momentum and product recovery offset near-term Direct pressure</t>
  </si>
  <si>
    <t>FY2026: wholesale +6%; Direct (6%); digital (12%)</t>
  </si>
  <si>
    <t>S1/S4</t>
  </si>
  <si>
    <t>Daniel Sibanda / 2026-08-22</t>
  </si>
  <si>
    <t>D02</t>
  </si>
  <si>
    <t>Measured recovery through mix, lower promotions and supply-chain normalization</t>
  </si>
  <si>
    <t>42.9% FY2026; 44.6% FY2024; 46.0% FY2022</t>
  </si>
  <si>
    <t>S1/S2/S4</t>
  </si>
  <si>
    <t>D03</t>
  </si>
  <si>
    <t>Keeps brand investment near the latest reported run rate</t>
  </si>
  <si>
    <t>10.2% FY2026</t>
  </si>
  <si>
    <t>D04</t>
  </si>
  <si>
    <t>Operating leverage reduces the ratio as revenue recovers</t>
  </si>
  <si>
    <t>24.5% FY2026; 23.5% FY2022</t>
  </si>
  <si>
    <t>S1/S2</t>
  </si>
  <si>
    <t>D05</t>
  </si>
  <si>
    <t>Gradual normalization from an unusually high FY2026 balance</t>
  </si>
  <si>
    <t>46.7 days FY2026 vs 29–37 days FY2022–FY2025</t>
  </si>
  <si>
    <t>D06</t>
  </si>
  <si>
    <t>Disciplined reduction without assuming an immediate return to pre-turnaround levels</t>
  </si>
  <si>
    <t>103.4 days FY2026; 103–122 days FY2022–FY2026</t>
  </si>
  <si>
    <t>D07</t>
  </si>
  <si>
    <t>Modest supplier-term improvement</t>
  </si>
  <si>
    <t>49.6 days FY2026</t>
  </si>
  <si>
    <t>D08</t>
  </si>
  <si>
    <t>Normalizes toward the historical ratio</t>
  </si>
  <si>
    <t>4.6% FY2026; 4.0% FY2024</t>
  </si>
  <si>
    <t>D09</t>
  </si>
  <si>
    <t>Gradual normalization after FY2026 balance growth</t>
  </si>
  <si>
    <t>12.2% FY2026</t>
  </si>
  <si>
    <t>D10</t>
  </si>
  <si>
    <t>Slight normalization with operating scale</t>
  </si>
  <si>
    <t>13.1% FY2026</t>
  </si>
  <si>
    <t>D11</t>
  </si>
  <si>
    <t>Conservative decline toward recent history</t>
  </si>
  <si>
    <t>5.3% FY2026</t>
  </si>
  <si>
    <t>D12</t>
  </si>
  <si>
    <t>Front-loaded transformation investment, then normalization</t>
  </si>
  <si>
    <t>1.5% FY2026; 1.6%–1.9% FY2022–FY2024</t>
  </si>
  <si>
    <t>D13</t>
  </si>
  <si>
    <t>Held near latest reported run rate</t>
  </si>
  <si>
    <t>1.6% FY2026</t>
  </si>
  <si>
    <t>D14</t>
  </si>
  <si>
    <t>1.5% FY2026</t>
  </si>
  <si>
    <t>D15</t>
  </si>
  <si>
    <t>Protects the dividend while retaining more cash during recovery</t>
  </si>
  <si>
    <t>77% FY2026 actual payout</t>
  </si>
  <si>
    <t>D16</t>
  </si>
  <si>
    <t>Conservative restart below historical repurchases</t>
  </si>
  <si>
    <t>$146mm FY2026 vs $3.0bn FY2025</t>
  </si>
  <si>
    <t>D17</t>
  </si>
  <si>
    <t>Matches a measured deleveraging path and FY2026 current maturities</t>
  </si>
  <si>
    <t>$7.9bn total debt; $2.0bn current at FY2026</t>
  </si>
  <si>
    <t>D18</t>
  </si>
  <si>
    <t>Below the FY2026 derived issuance/other financing amount</t>
  </si>
  <si>
    <t>$261mm FY2026 derived combined amount</t>
  </si>
  <si>
    <t>D19</t>
  </si>
  <si>
    <t>Cash deployment reduces excess investments gradually</t>
  </si>
  <si>
    <t>3.2% FY2026</t>
  </si>
  <si>
    <t>D20</t>
  </si>
  <si>
    <t>Gradual footprint efficiency</t>
  </si>
  <si>
    <t>6.1% FY2026</t>
  </si>
  <si>
    <t>V01</t>
  </si>
  <si>
    <t>U.S. 10-year Treasury at valuation date</t>
  </si>
  <si>
    <t>4.74% on 2026-08-21</t>
  </si>
  <si>
    <t>V02</t>
  </si>
  <si>
    <t>Current implied U.S. ERP</t>
  </si>
  <si>
    <t>4.28% on 2026-08-01</t>
  </si>
  <si>
    <t>V03</t>
  </si>
  <si>
    <t>x</t>
  </si>
  <si>
    <t>Market snapshot; editable and sensitivity-tested</t>
  </si>
  <si>
    <t>1.05</t>
  </si>
  <si>
    <t>S5/A1</t>
  </si>
  <si>
    <t>V04</t>
  </si>
  <si>
    <t>Risk-free rate plus 60 bps credit spread assumption</t>
  </si>
  <si>
    <t>5.34%</t>
  </si>
  <si>
    <t>M1/A1</t>
  </si>
  <si>
    <t>V05</t>
  </si>
  <si>
    <t>Rounded capital-structure weight</t>
  </si>
  <si>
    <t>12%</t>
  </si>
  <si>
    <t>S1/S5</t>
  </si>
  <si>
    <t>V06</t>
  </si>
  <si>
    <t>Complements debt weight to 100%</t>
  </si>
  <si>
    <t>88%</t>
  </si>
  <si>
    <t>V07</t>
  </si>
  <si>
    <t>Terminal growth</t>
  </si>
  <si>
    <t>Above 2% inflation but below forecast revenue growth</t>
  </si>
  <si>
    <t>2.5%</t>
  </si>
  <si>
    <t>M3/A1</t>
  </si>
  <si>
    <t>V08</t>
  </si>
  <si>
    <t>Premium to WACC for execution risk</t>
  </si>
  <si>
    <t>10.0%</t>
  </si>
  <si>
    <t>V09</t>
  </si>
  <si>
    <t>Initial project investment</t>
  </si>
  <si>
    <t>Illustrative staged transformation funding</t>
  </si>
  <si>
    <t>$250mm at valuation date</t>
  </si>
  <si>
    <t>V10</t>
  </si>
  <si>
    <t>Residual-value multiple</t>
  </si>
  <si>
    <t>Conservative terminal value on project EBIT</t>
  </si>
  <si>
    <t>5.0x</t>
  </si>
  <si>
    <t>V11</t>
  </si>
  <si>
    <t>Project EBIT margin</t>
  </si>
  <si>
    <t>Below consolidated long-run gross margin and consistent with scale benefits</t>
  </si>
  <si>
    <t>25.0% incremental EBIT margin</t>
  </si>
  <si>
    <t>V12</t>
  </si>
  <si>
    <t>Project NWC / revenue</t>
  </si>
  <si>
    <t>Working-capital requirement on incremental sales</t>
  </si>
  <si>
    <t>5.0%</t>
  </si>
  <si>
    <t>V13</t>
  </si>
  <si>
    <t>Current share price</t>
  </si>
  <si>
    <t>Market snapshot at valuation date</t>
  </si>
  <si>
    <t>$40.76</t>
  </si>
  <si>
    <t>V14</t>
  </si>
  <si>
    <t>Forecast tax rate</t>
  </si>
  <si>
    <t>Uses latest reported effective rate</t>
  </si>
  <si>
    <t>20.3% FY2026</t>
  </si>
  <si>
    <t>V15</t>
  </si>
  <si>
    <t>Cash yield</t>
  </si>
  <si>
    <t>Conservative yield below 10-year Treasury</t>
  </si>
  <si>
    <t>V16</t>
  </si>
  <si>
    <t>Current debt / notes</t>
  </si>
  <si>
    <t>No forecast current debt separate from the debt schedule</t>
  </si>
  <si>
    <t>Zero; debt is modeled in long-term debt</t>
  </si>
  <si>
    <t>V17</t>
  </si>
  <si>
    <t>Current lease / lease asset</t>
  </si>
  <si>
    <t>Maintains a stable current portion</t>
  </si>
  <si>
    <t>15.0%</t>
  </si>
  <si>
    <t>S1/A1</t>
  </si>
  <si>
    <t>V18</t>
  </si>
  <si>
    <t>Forecast simplification; explicit and sensitivity-ready</t>
  </si>
  <si>
    <t>50.0%</t>
  </si>
  <si>
    <t>V19</t>
  </si>
  <si>
    <t>Primary intrinsic valuation method</t>
  </si>
  <si>
    <t>70.0%</t>
  </si>
  <si>
    <t>V20</t>
  </si>
  <si>
    <t>Secondary market cross-check</t>
  </si>
  <si>
    <t>30.0%</t>
  </si>
  <si>
    <t>V21</t>
  </si>
  <si>
    <t>Reference only due control premium and scale mismatch</t>
  </si>
  <si>
    <t>0.0%</t>
  </si>
  <si>
    <t>P0/P1/P2/P3/P4</t>
  </si>
  <si>
    <t>V22</t>
  </si>
  <si>
    <t>Avoids a fixed repurchase price across five years</t>
  </si>
  <si>
    <t>5.0% annually</t>
  </si>
  <si>
    <t>V23</t>
  </si>
  <si>
    <t>Employee share issuance</t>
  </si>
  <si>
    <t>Share-count bridge assumption</t>
  </si>
  <si>
    <t>3.0mm shares annually</t>
  </si>
  <si>
    <t>V24</t>
  </si>
  <si>
    <t>No separate recurring forecast item</t>
  </si>
  <si>
    <t>Zero</t>
  </si>
  <si>
    <t>V25</t>
  </si>
  <si>
    <t>Decision rule used on the executive dashboard</t>
  </si>
  <si>
    <t>V26</t>
  </si>
  <si>
    <t>Federal statutory anchor for the book-versus-tax depreciation schedule</t>
  </si>
  <si>
    <t>21.0%</t>
  </si>
  <si>
    <t>V27</t>
  </si>
  <si>
    <t>Accelerated tax-depreciation proxy; NIKE does not separately disclose tax depreciation</t>
  </si>
  <si>
    <t>1.10x</t>
  </si>
  <si>
    <t>V28</t>
  </si>
  <si>
    <t>Reconciles the 21.0% statutory rate to the 20.3% FY2026 effective-rate anchor</t>
  </si>
  <si>
    <t>(3.3%)</t>
  </si>
  <si>
    <t>V29</t>
  </si>
  <si>
    <t>Class A plus Class B shares outstanding as of 2026-07-08</t>
  </si>
  <si>
    <t>1,517.5mm</t>
  </si>
  <si>
    <t>PRECEDENT TRANSACTIONS — REFERENCE VALUATION</t>
  </si>
  <si>
    <t>Transaction</t>
  </si>
  <si>
    <t>Announced</t>
  </si>
  <si>
    <t>EV / consideration</t>
  </si>
  <si>
    <t>EV / Revenue</t>
  </si>
  <si>
    <t>EBITDA</t>
  </si>
  <si>
    <t>EV / EBITDA</t>
  </si>
  <si>
    <t>Control premium</t>
  </si>
  <si>
    <t>Relevance / caveat</t>
  </si>
  <si>
    <t>3G Capital / Skechers</t>
  </si>
  <si>
    <t>2025-05-05</t>
  </si>
  <si>
    <t>Best scale-relevant footwear take-private; transaction value used as EV proxy</t>
  </si>
  <si>
    <t>Crocs / HEYDUDE</t>
  </si>
  <si>
    <t>2021-12-23</t>
  </si>
  <si>
    <t>N/D</t>
  </si>
  <si>
    <t>High-growth footwear brand; control premium embedded but not separately disclosed</t>
  </si>
  <si>
    <t>Authentic Brands / Reebok</t>
  </si>
  <si>
    <t>2021-08-12</t>
  </si>
  <si>
    <t>Global athletic brand; EUR consideration and revenue are ratio-consistent</t>
  </si>
  <si>
    <t>VF / Supreme</t>
  </si>
  <si>
    <t>2020-11-09</t>
  </si>
  <si>
    <t>Premium brand adjacency; expected revenue and control premium embedded</t>
  </si>
  <si>
    <t>VF / Timberland</t>
  </si>
  <si>
    <t>2011-06-13</t>
  </si>
  <si>
    <t>Global footwear/apparel brand; older-cycle transaction</t>
  </si>
  <si>
    <t>Median EV / Revenue</t>
  </si>
  <si>
    <t>Selected low EV / Revenue (2nd-lowest)</t>
  </si>
  <si>
    <t>Selected high EV / Revenue (2nd-highest)</t>
  </si>
  <si>
    <t>NIKE'S NEXT RUN — INTEGRATED MODEL</t>
  </si>
  <si>
    <t>Three-Statement Forecast, Investment Appraisal &amp; Valuation | Prepared by Daniel Sibanda</t>
  </si>
  <si>
    <t>Line item</t>
  </si>
  <si>
    <t>OPERATING MODEL &amp; INCOME STATEMENT</t>
  </si>
  <si>
    <t>EBIT margin</t>
  </si>
  <si>
    <t>Effective tax rate</t>
  </si>
  <si>
    <t>WORKING CAPITAL &amp; OPERATING BALANCE DRIVERS</t>
  </si>
  <si>
    <t>Net operating working capital</t>
  </si>
  <si>
    <t>Change in NOWC</t>
  </si>
  <si>
    <t>PP&amp;E, DEBT &amp; EQUITY SCHEDULES</t>
  </si>
  <si>
    <t>Beginning PP&amp;E</t>
  </si>
  <si>
    <t>Ending PP&amp;E</t>
  </si>
  <si>
    <t>Beginning debt</t>
  </si>
  <si>
    <t>Ending debt</t>
  </si>
  <si>
    <t>Beginning APIC</t>
  </si>
  <si>
    <t>Stock compensation</t>
  </si>
  <si>
    <t>Ending APIC</t>
  </si>
  <si>
    <t>Beginning retained earnings</t>
  </si>
  <si>
    <t>Dividends</t>
  </si>
  <si>
    <t>Ending retained earnings</t>
  </si>
  <si>
    <t>BALANCE SHEET</t>
  </si>
  <si>
    <t>Total current assets</t>
  </si>
  <si>
    <t>Total current liabilities</t>
  </si>
  <si>
    <t>Total liabilities</t>
  </si>
  <si>
    <t>Balance sheet check</t>
  </si>
  <si>
    <t>CASH FLOW STATEMENT</t>
  </si>
  <si>
    <t>Change in accounts receivable</t>
  </si>
  <si>
    <t>Change in inventories</t>
  </si>
  <si>
    <t>Change in prepaids, ROU &amp; other assets</t>
  </si>
  <si>
    <t>Change in AP, accrued, leases &amp; other liabilities</t>
  </si>
  <si>
    <t>Other operating adjustments</t>
  </si>
  <si>
    <t>Operating cash flow tie-out</t>
  </si>
  <si>
    <t>Other investing activities</t>
  </si>
  <si>
    <t>Cash flow reconciliation check</t>
  </si>
  <si>
    <t>Calculated WACC</t>
  </si>
  <si>
    <t>DCF VALUATION</t>
  </si>
  <si>
    <t>Cash taxes on EBIT</t>
  </si>
  <si>
    <t>NOPAT</t>
  </si>
  <si>
    <t>Unlevered free cash flow</t>
  </si>
  <si>
    <t>Discount factor</t>
  </si>
  <si>
    <t>PV of unlevered FCF</t>
  </si>
  <si>
    <t>NPV of explicit forecast</t>
  </si>
  <si>
    <t>Terminal value</t>
  </si>
  <si>
    <t>PV of terminal value</t>
  </si>
  <si>
    <t>Enterprise value</t>
  </si>
  <si>
    <t>Cash &amp; short-term investments</t>
  </si>
  <si>
    <t>Debt</t>
  </si>
  <si>
    <t>Equity value</t>
  </si>
  <si>
    <t>DCF implied value per share</t>
  </si>
  <si>
    <t>Upside / (downside)</t>
  </si>
  <si>
    <t>Debt roll-forward check</t>
  </si>
  <si>
    <t>PP&amp;E roll-forward check</t>
  </si>
  <si>
    <t>Scenario selection check</t>
  </si>
  <si>
    <t>DCF bridge check</t>
  </si>
  <si>
    <t>Overall status</t>
  </si>
  <si>
    <t>PROJECT NEXT RUN — INVESTMENT APPRAISAL</t>
  </si>
  <si>
    <t>Project cash flow item</t>
  </si>
  <si>
    <t>Initial / staged investment</t>
  </si>
  <si>
    <t>Incremental revenue</t>
  </si>
  <si>
    <t>Incremental EBIT</t>
  </si>
  <si>
    <t>Incremental taxes</t>
  </si>
  <si>
    <t>Incremental NWC investment</t>
  </si>
  <si>
    <t>Residual value</t>
  </si>
  <si>
    <t>Net project cash flow</t>
  </si>
  <si>
    <t>NPV</t>
  </si>
  <si>
    <t>XIRR</t>
  </si>
  <si>
    <t>Investment decision</t>
  </si>
  <si>
    <t>TRADING COMPARABLES VALUATION</t>
  </si>
  <si>
    <t>Peer median</t>
  </si>
  <si>
    <t>Nike implied</t>
  </si>
  <si>
    <t>Current P/E</t>
  </si>
  <si>
    <t>FY2027F Nike EPS</t>
  </si>
  <si>
    <t>Implied value / share</t>
  </si>
  <si>
    <t>DCF value / share</t>
  </si>
  <si>
    <t>Blended value / share</t>
  </si>
  <si>
    <t>All screened peers remain visible. PUMA, ONON and UAA show N/M where trailing P/E is not meaningful; they are not silently removed from the peer universe. Positive-P/E statistics use only meaningful observations.</t>
  </si>
  <si>
    <t>PRECEDENT TRANSACTIONS VALUATION — REFERENCE ONLY</t>
  </si>
  <si>
    <t>FY2027F revenue</t>
  </si>
  <si>
    <t>Implied enterprise value</t>
  </si>
  <si>
    <t>Implied equity value</t>
  </si>
  <si>
    <t>FY2027F diluted shares</t>
  </si>
  <si>
    <t>Precedent implied value / share</t>
  </si>
  <si>
    <t>Weight in blended valuation</t>
  </si>
  <si>
    <t>Interpretation: precedent transactions include control premiums and much smaller targets. They are shown as a valuation reference and carry 0% weight in the blended value unless the user changes the explicit weight on Inputs.</t>
  </si>
  <si>
    <t>DILUTED SHARE-COUNT SCHEDULE</t>
  </si>
  <si>
    <t>Share-count line item</t>
  </si>
  <si>
    <t>Reported diluted weighted-average shares</t>
  </si>
  <si>
    <t>Beginning diluted shares</t>
  </si>
  <si>
    <t>Share repurchase spend</t>
  </si>
  <si>
    <t>Assumed repurchase price</t>
  </si>
  <si>
    <t>Shares repurchased</t>
  </si>
  <si>
    <t>Ending diluted shares</t>
  </si>
  <si>
    <t>Forecast diluted weighted-average shares</t>
  </si>
  <si>
    <t>Share schedule check</t>
  </si>
  <si>
    <t>BOOK TAX VS CASH TAX / TAX-DEPRECIATION SCHEDULE</t>
  </si>
  <si>
    <t>Tax line item</t>
  </si>
  <si>
    <t>Book depreciation &amp; amortization</t>
  </si>
  <si>
    <t>Tax depreciation</t>
  </si>
  <si>
    <t>Excess tax depreciation</t>
  </si>
  <si>
    <t>Permanent differences</t>
  </si>
  <si>
    <t>Taxable income</t>
  </si>
  <si>
    <t>Current cash tax expense</t>
  </si>
  <si>
    <t>Deferred tax expense</t>
  </si>
  <si>
    <t>Total income tax expense</t>
  </si>
  <si>
    <t>Income statement tax check</t>
  </si>
  <si>
    <t>DCF VALUATION SENSITIVITY — IMPLIED VALUE / SHARE</t>
  </si>
  <si>
    <t>Sensitivity output</t>
  </si>
  <si>
    <t>Base DCF</t>
  </si>
  <si>
    <t>FOOTBALL FIELD — AUDITABLE VALUATION RANGES</t>
  </si>
  <si>
    <t>Range / source</t>
  </si>
  <si>
    <t>DCF sensitivity</t>
  </si>
  <si>
    <t>5x5 WACC / terminal-growth grid</t>
  </si>
  <si>
    <t>Trading comparables P/E</t>
  </si>
  <si>
    <t>Positive-P/E peers only; N/M peers excluded</t>
  </si>
  <si>
    <t>2nd-lowest to 2nd-highest transaction multiple; control premiums embedded</t>
  </si>
  <si>
    <t>52-week trading range</t>
  </si>
  <si>
    <t>Observed NKE market range as of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</si>
</sst>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Red]\(0.0\);\-"/>
    <numFmt numFmtId="165" formatCode="yyyy\-mm\-dd"/>
    <numFmt numFmtId="166" formatCode="0.0%;\(0.0%\);\-"/>
    <numFmt numFmtId="167" formatCode="0.0"/>
    <numFmt numFmtId="168" formatCode="#,##0;\(#,##0\);\-"/>
    <numFmt numFmtId="169" formatCode="0.0\x"/>
    <numFmt numFmtId="170" formatCode="\$0.00;\(\$0.00\);\-"/>
    <numFmt numFmtId="171" formatCode="#,##0.0;\(#,##0.0\);\-"/>
    <numFmt numFmtId="172" formatCode="\$#,##0;\(\$#,##0\);\-"/>
    <numFmt numFmtId="173" formatCode="0.000\x"/>
  </numFmts>
  <fonts count="24">
    <font>
      <sz val="11"/>
      <name val="Carlito"/>
    </font>
    <font>
      <sz val="10"/>
      <color rgb="FF000000"/>
      <name val="Arial"/>
      <family val="2"/>
    </font>
    <font>
      <b/>
      <sz val="18"/>
      <color rgb="FFFFFFFF"/>
      <name val="Arial"/>
      <family val="2"/>
    </font>
    <font>
      <i/>
      <sz val="10"/>
      <color rgb="FFFFFFFF"/>
      <name val="Arial"/>
      <family val="2"/>
    </font>
    <font>
      <sz val="12"/>
      <color rgb="FF0F6B6D"/>
      <name val="Arial"/>
      <family val="2"/>
    </font>
    <font>
      <b/>
      <sz val="10"/>
      <color rgb="FFFFFFFF"/>
      <name val="Arial"/>
      <family val="2"/>
    </font>
    <font>
      <b/>
      <sz val="10"/>
      <color rgb="FF5B6573"/>
      <name val="Arial"/>
      <family val="2"/>
    </font>
    <font>
      <b/>
      <sz val="10"/>
      <color rgb="FF0F6B6D"/>
      <name val="Arial"/>
      <family val="2"/>
    </font>
    <font>
      <b/>
      <sz val="10"/>
      <color rgb="FF000000"/>
      <name val="Arial"/>
      <family val="2"/>
    </font>
    <font>
      <b/>
      <sz val="12"/>
      <color rgb="FFFFFFFF"/>
      <name val="Arial"/>
      <family val="2"/>
    </font>
    <font>
      <i/>
      <sz val="10"/>
      <color rgb="FF404040"/>
      <name val="Arial"/>
      <family val="2"/>
    </font>
    <font>
      <b/>
      <sz val="9"/>
      <color rgb="FF0F6B6D"/>
      <name val="Arial"/>
      <family val="2"/>
    </font>
    <font>
      <b/>
      <sz val="10"/>
      <color rgb="FF0000FF"/>
      <name val="Arial"/>
      <family val="2"/>
    </font>
    <font>
      <b/>
      <sz val="10"/>
      <color rgb="FF404040"/>
      <name val="Arial"/>
      <family val="2"/>
    </font>
    <font>
      <sz val="10"/>
      <color rgb="FF0000FF"/>
      <name val="Arial"/>
      <family val="2"/>
    </font>
    <font>
      <sz val="10"/>
      <color rgb="FF5B6573"/>
      <name val="Arial"/>
      <family val="2"/>
    </font>
    <font>
      <i/>
      <sz val="10"/>
      <color rgb="FF000000"/>
      <name val="Arial"/>
      <family val="2"/>
    </font>
    <font>
      <b/>
      <sz val="10"/>
      <color rgb="FF263238"/>
      <name val="Arial"/>
      <family val="2"/>
    </font>
    <font>
      <b/>
      <sz val="17"/>
      <color rgb="FF0000FF"/>
      <name val="Arial"/>
      <family val="2"/>
    </font>
    <font>
      <b/>
      <sz val="17"/>
      <color rgb="FF000000"/>
      <name val="Arial"/>
      <family val="2"/>
    </font>
    <font>
      <b/>
      <sz val="11"/>
      <color rgb="FF263238"/>
      <name val="Arial"/>
      <family val="2"/>
    </font>
    <font>
      <b/>
      <sz val="11"/>
      <color rgb="FFFFFFFF"/>
      <name val="Carlito"/>
    </font>
    <font>
      <b/>
      <sz val="11"/>
      <color rgb="FF0F6B6D"/>
      <name val="Carlito"/>
    </font>
    <font>
      <sz val="11"/>
      <color rgb="FF404040"/>
      <name val="Carlito"/>
    </font>
  </fonts>
  <fills count="10">
    <fill>
      <patternFill patternType="none"/>
    </fill>
    <fill>
      <patternFill patternType="gray125"/>
    </fill>
    <fill>
      <patternFill patternType="solid">
        <fgColor rgb="FF263238"/>
      </patternFill>
    </fill>
    <fill>
      <patternFill patternType="solid">
        <fgColor rgb="FF0F6B6D"/>
      </patternFill>
    </fill>
    <fill>
      <patternFill patternType="solid">
        <fgColor rgb="FFF5F7F6"/>
      </patternFill>
    </fill>
    <fill>
      <patternFill patternType="solid">
        <fgColor rgb="FFF6E7C1"/>
      </patternFill>
    </fill>
    <fill>
      <patternFill patternType="solid">
        <fgColor rgb="FFDCEFEA"/>
      </patternFill>
    </fill>
    <fill>
      <patternFill patternType="solid">
        <fgColor rgb="FFE5E7EB"/>
      </patternFill>
    </fill>
    <fill>
      <patternFill patternType="solid">
        <fgColor rgb="FFEAF4F1"/>
      </patternFill>
    </fill>
    <fill>
      <patternFill patternType="solid">
        <fgColor rgb="FFE2F0D9"/>
      </patternFill>
    </fill>
  </fills>
  <borders count="48">
    <border>
      <left/>
      <right/>
      <top/>
      <bottom/>
      <diagonal/>
    </border>
    <border>
      <left/>
      <right style="thin">
        <color rgb="FFE6EAF0"/>
      </right>
      <top/>
      <bottom style="thin">
        <color rgb="FFE6EAF0"/>
      </bottom>
      <diagonal/>
    </border>
    <border>
      <left style="thin">
        <color rgb="FFE6EAF0"/>
      </left>
      <right style="thin">
        <color rgb="FFE6EAF0"/>
      </right>
      <top/>
      <bottom style="thin">
        <color rgb="FFE6EAF0"/>
      </bottom>
      <diagonal/>
    </border>
    <border>
      <left style="thin">
        <color rgb="FFE6EAF0"/>
      </left>
      <right/>
      <top/>
      <bottom style="thin">
        <color rgb="FFE6EAF0"/>
      </bottom>
      <diagonal/>
    </border>
    <border>
      <left/>
      <right style="thin">
        <color rgb="FFE6EAF0"/>
      </right>
      <top style="thin">
        <color rgb="FFE6EAF0"/>
      </top>
      <bottom style="thin">
        <color rgb="FFE6EAF0"/>
      </bottom>
      <diagonal/>
    </border>
    <border>
      <left style="thin">
        <color rgb="FFE6EAF0"/>
      </left>
      <right style="thin">
        <color rgb="FFE6EAF0"/>
      </right>
      <top style="thin">
        <color rgb="FFE6EAF0"/>
      </top>
      <bottom style="thin">
        <color rgb="FFE6EAF0"/>
      </bottom>
      <diagonal/>
    </border>
    <border>
      <left style="thin">
        <color rgb="FFE6EAF0"/>
      </left>
      <right/>
      <top style="thin">
        <color rgb="FFE6EAF0"/>
      </top>
      <bottom style="thin">
        <color rgb="FFE6EAF0"/>
      </bottom>
      <diagonal/>
    </border>
    <border>
      <left/>
      <right style="thin">
        <color rgb="FFE6EAF0"/>
      </right>
      <top style="thin">
        <color rgb="FFE6EAF0"/>
      </top>
      <bottom/>
      <diagonal/>
    </border>
    <border>
      <left style="thin">
        <color rgb="FFE6EAF0"/>
      </left>
      <right style="thin">
        <color rgb="FFE6EAF0"/>
      </right>
      <top style="thin">
        <color rgb="FFE6EAF0"/>
      </top>
      <bottom/>
      <diagonal/>
    </border>
    <border>
      <left style="thin">
        <color rgb="FFE6EAF0"/>
      </left>
      <right/>
      <top style="thin">
        <color rgb="FFE6EAF0"/>
      </top>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style="thin">
        <color rgb="FFB8C7C5"/>
      </left>
      <right style="thin">
        <color rgb="FFB8C7C5"/>
      </right>
      <top style="thin">
        <color rgb="FFB8C7C5"/>
      </top>
      <bottom style="thin">
        <color rgb="FFB8C7C5"/>
      </bottom>
      <diagonal/>
    </border>
    <border>
      <left style="thin">
        <color rgb="FFB8C7C5"/>
      </left>
      <right style="thin">
        <color rgb="FFB8C7C5"/>
      </right>
      <top style="thin">
        <color rgb="FFB8C7C5"/>
      </top>
      <bottom/>
      <diagonal/>
    </border>
    <border>
      <left style="thin">
        <color rgb="FFB8C7C5"/>
      </left>
      <right style="thin">
        <color rgb="FFB8C7C5"/>
      </right>
      <top/>
      <bottom/>
      <diagonal/>
    </border>
    <border>
      <left style="thin">
        <color rgb="FFB8C7C5"/>
      </left>
      <right style="thin">
        <color rgb="FFB8C7C5"/>
      </right>
      <top/>
      <bottom style="thin">
        <color rgb="FFB8C7C5"/>
      </bottom>
      <diagonal/>
    </border>
    <border>
      <left/>
      <right style="thin">
        <color rgb="FFB8C7C5"/>
      </right>
      <top/>
      <bottom style="thin">
        <color rgb="FFB8C7C5"/>
      </bottom>
      <diagonal/>
    </border>
    <border>
      <left style="thin">
        <color rgb="FFB8C7C5"/>
      </left>
      <right/>
      <top/>
      <bottom style="thin">
        <color rgb="FFB8C7C5"/>
      </bottom>
      <diagonal/>
    </border>
    <border>
      <left/>
      <right style="thin">
        <color rgb="FFB8C7C5"/>
      </right>
      <top style="thin">
        <color rgb="FFB8C7C5"/>
      </top>
      <bottom style="thin">
        <color rgb="FFB8C7C5"/>
      </bottom>
      <diagonal/>
    </border>
    <border>
      <left style="thin">
        <color rgb="FFB8C7C5"/>
      </left>
      <right/>
      <top style="thin">
        <color rgb="FFB8C7C5"/>
      </top>
      <bottom style="thin">
        <color rgb="FFB8C7C5"/>
      </bottom>
      <diagonal/>
    </border>
    <border>
      <left/>
      <right style="thin">
        <color rgb="FFB8C7C5"/>
      </right>
      <top style="thin">
        <color rgb="FFB8C7C5"/>
      </top>
      <bottom/>
      <diagonal/>
    </border>
    <border>
      <left style="thin">
        <color rgb="FFB8C7C5"/>
      </left>
      <right/>
      <top style="thin">
        <color rgb="FFB8C7C5"/>
      </top>
      <bottom/>
      <diagonal/>
    </border>
    <border>
      <left style="thin">
        <color rgb="FFC49A3A"/>
      </left>
      <right/>
      <top style="thin">
        <color rgb="FFC49A3A"/>
      </top>
      <bottom style="thin">
        <color rgb="FFC49A3A"/>
      </bottom>
      <diagonal/>
    </border>
    <border>
      <left/>
      <right/>
      <top style="thin">
        <color rgb="FFC49A3A"/>
      </top>
      <bottom style="thin">
        <color rgb="FFC49A3A"/>
      </bottom>
      <diagonal/>
    </border>
    <border>
      <left/>
      <right style="thin">
        <color rgb="FFC49A3A"/>
      </right>
      <top style="thin">
        <color rgb="FFC49A3A"/>
      </top>
      <bottom style="thin">
        <color rgb="FFC49A3A"/>
      </bottom>
      <diagonal/>
    </border>
    <border>
      <left/>
      <right/>
      <top style="thin">
        <color rgb="FFB8C7C5"/>
      </top>
      <bottom style="thin">
        <color rgb="FFB8C7C5"/>
      </bottom>
      <diagonal/>
    </border>
    <border>
      <left/>
      <right/>
      <top/>
      <bottom style="thin">
        <color rgb="FFE6EAF0"/>
      </bottom>
      <diagonal/>
    </border>
    <border>
      <left/>
      <right/>
      <top style="thin">
        <color rgb="FF404040"/>
      </top>
      <bottom/>
      <diagonal/>
    </border>
    <border>
      <left/>
      <right/>
      <top style="thin">
        <color rgb="FFB8C7C5"/>
      </top>
      <bottom/>
      <diagonal/>
    </border>
    <border>
      <left style="thin">
        <color rgb="FFB8C7C5"/>
      </left>
      <right/>
      <top/>
      <bottom/>
      <diagonal/>
    </border>
    <border>
      <left/>
      <right style="thin">
        <color rgb="FFB8C7C5"/>
      </right>
      <top/>
      <bottom/>
      <diagonal/>
    </border>
    <border>
      <left/>
      <right/>
      <top/>
      <bottom style="thin">
        <color rgb="FFB8C7C5"/>
      </bottom>
      <diagonal/>
    </border>
    <border>
      <left style="medium">
        <color rgb="FFC49A3A"/>
      </left>
      <right/>
      <top style="medium">
        <color rgb="FFC49A3A"/>
      </top>
      <bottom/>
      <diagonal/>
    </border>
    <border>
      <left/>
      <right/>
      <top style="medium">
        <color rgb="FFC49A3A"/>
      </top>
      <bottom/>
      <diagonal/>
    </border>
    <border>
      <left/>
      <right style="medium">
        <color rgb="FFC49A3A"/>
      </right>
      <top style="medium">
        <color rgb="FFC49A3A"/>
      </top>
      <bottom/>
      <diagonal/>
    </border>
    <border>
      <left style="medium">
        <color rgb="FFC49A3A"/>
      </left>
      <right/>
      <top/>
      <bottom/>
      <diagonal/>
    </border>
    <border>
      <left/>
      <right style="medium">
        <color rgb="FFC49A3A"/>
      </right>
      <top/>
      <bottom/>
      <diagonal/>
    </border>
    <border>
      <left style="medium">
        <color rgb="FFC49A3A"/>
      </left>
      <right/>
      <top/>
      <bottom style="medium">
        <color rgb="FFC49A3A"/>
      </bottom>
      <diagonal/>
    </border>
    <border>
      <left/>
      <right/>
      <top/>
      <bottom style="medium">
        <color rgb="FFC49A3A"/>
      </bottom>
      <diagonal/>
    </border>
    <border>
      <left/>
      <right style="medium">
        <color rgb="FFC49A3A"/>
      </right>
      <top/>
      <bottom style="medium">
        <color rgb="FFC49A3A"/>
      </bottom>
      <diagonal/>
    </border>
    <border>
      <left style="thin">
        <color rgb="FFC49A3A"/>
      </left>
      <right style="thin">
        <color rgb="FFC49A3A"/>
      </right>
      <top/>
      <bottom/>
      <diagonal/>
    </border>
    <border>
      <left style="thin">
        <color rgb="FFC49A3A"/>
      </left>
      <right style="thin">
        <color rgb="FFC49A3A"/>
      </right>
      <top/>
      <bottom style="thin">
        <color rgb="FFB8C7C5"/>
      </bottom>
      <diagonal/>
    </border>
  </borders>
  <cellStyleXfs count="1">
    <xf numFmtId="0" fontId="0" fillId="0" borderId="0"/>
  </cellStyleXfs>
  <cellXfs count="268">
    <xf numFmtId="0" fontId="0" fillId="0" borderId="0" xfId="0"/>
    <xf numFmtId="0" fontId="1" fillId="0" borderId="0" xfId="0" applyFont="1"/>
    <xf numFmtId="0" fontId="6" fillId="0" borderId="0" xfId="0" applyFont="1"/>
    <xf numFmtId="0" fontId="1" fillId="4" borderId="0" xfId="0" applyFont="1" applyFill="1"/>
    <xf numFmtId="0" fontId="5" fillId="3" borderId="0" xfId="0" applyFont="1" applyFill="1"/>
    <xf numFmtId="0" fontId="7" fillId="0" borderId="0" xfId="0" applyFont="1"/>
    <xf numFmtId="0" fontId="1" fillId="0" borderId="2" xfId="0" applyFont="1" applyBorder="1"/>
    <xf numFmtId="0" fontId="1" fillId="0" borderId="3" xfId="0" applyFont="1" applyBorder="1"/>
    <xf numFmtId="0" fontId="1" fillId="0" borderId="5" xfId="0" applyFont="1" applyBorder="1"/>
    <xf numFmtId="0" fontId="1" fillId="0" borderId="6" xfId="0" applyFont="1" applyBorder="1"/>
    <xf numFmtId="0" fontId="1" fillId="0" borderId="8" xfId="0" applyFont="1" applyBorder="1"/>
    <xf numFmtId="0" fontId="1" fillId="0" borderId="9" xfId="0" applyFont="1" applyBorder="1"/>
    <xf numFmtId="0" fontId="7" fillId="0" borderId="1" xfId="0" applyFont="1" applyBorder="1" applyAlignment="1">
      <alignment wrapText="1"/>
    </xf>
    <xf numFmtId="0" fontId="8" fillId="0" borderId="2"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7" fillId="0" borderId="4" xfId="0" applyFont="1" applyBorder="1" applyAlignment="1">
      <alignment wrapText="1"/>
    </xf>
    <xf numFmtId="0" fontId="8" fillId="0" borderId="5"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7" fillId="0" borderId="7" xfId="0" applyFont="1" applyBorder="1" applyAlignment="1">
      <alignment wrapText="1"/>
    </xf>
    <xf numFmtId="0" fontId="8" fillId="0" borderId="8"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164" fontId="1" fillId="0" borderId="0" xfId="0" applyNumberFormat="1" applyFont="1"/>
    <xf numFmtId="0" fontId="1" fillId="0" borderId="1" xfId="0" applyFont="1" applyBorder="1"/>
    <xf numFmtId="0" fontId="1" fillId="0" borderId="4" xfId="0" applyFont="1" applyBorder="1"/>
    <xf numFmtId="0" fontId="1" fillId="0" borderId="7" xfId="0" applyFont="1" applyBorder="1"/>
    <xf numFmtId="0" fontId="1" fillId="0" borderId="1" xfId="0" applyFont="1" applyBorder="1" applyAlignment="1">
      <alignment wrapText="1"/>
    </xf>
    <xf numFmtId="0" fontId="1" fillId="0" borderId="4" xfId="0" applyFont="1" applyBorder="1" applyAlignment="1">
      <alignment wrapText="1"/>
    </xf>
    <xf numFmtId="0" fontId="1" fillId="0" borderId="7" xfId="0" applyFont="1" applyBorder="1" applyAlignment="1">
      <alignment wrapText="1"/>
    </xf>
    <xf numFmtId="0" fontId="11" fillId="4" borderId="18" xfId="0" applyFont="1" applyFill="1" applyBorder="1" applyAlignment="1">
      <alignment horizontal="center"/>
    </xf>
    <xf numFmtId="0" fontId="8" fillId="4" borderId="18" xfId="0" applyFont="1" applyFill="1" applyBorder="1"/>
    <xf numFmtId="0" fontId="12" fillId="6" borderId="20" xfId="0" applyFont="1" applyFill="1" applyBorder="1"/>
    <xf numFmtId="0" fontId="12" fillId="6" borderId="21" xfId="0" applyFont="1" applyFill="1" applyBorder="1"/>
    <xf numFmtId="165" fontId="12" fillId="6" borderId="19" xfId="0" applyNumberFormat="1" applyFont="1" applyFill="1" applyBorder="1"/>
    <xf numFmtId="0" fontId="1" fillId="0" borderId="22" xfId="0" applyFont="1" applyBorder="1"/>
    <xf numFmtId="0" fontId="1" fillId="0" borderId="24" xfId="0" applyFont="1" applyBorder="1"/>
    <xf numFmtId="0" fontId="1" fillId="0" borderId="26" xfId="0" applyFont="1" applyBorder="1"/>
    <xf numFmtId="166" fontId="1" fillId="0" borderId="23" xfId="0" applyNumberFormat="1" applyFont="1" applyBorder="1"/>
    <xf numFmtId="166" fontId="1" fillId="0" borderId="25" xfId="0" applyNumberFormat="1" applyFont="1" applyBorder="1"/>
    <xf numFmtId="167" fontId="1" fillId="0" borderId="25" xfId="0" applyNumberFormat="1" applyFont="1" applyBorder="1"/>
    <xf numFmtId="167" fontId="1" fillId="0" borderId="27" xfId="0" applyNumberFormat="1" applyFont="1" applyBorder="1"/>
    <xf numFmtId="0" fontId="13" fillId="7" borderId="25" xfId="0" applyFont="1" applyFill="1" applyBorder="1" applyAlignment="1">
      <alignment horizontal="right"/>
    </xf>
    <xf numFmtId="0" fontId="13" fillId="7" borderId="31" xfId="0" applyFont="1" applyFill="1" applyBorder="1" applyAlignment="1">
      <alignment horizontal="right"/>
    </xf>
    <xf numFmtId="0" fontId="13" fillId="7" borderId="24" xfId="0" applyFont="1" applyFill="1" applyBorder="1" applyAlignment="1">
      <alignment horizontal="right"/>
    </xf>
    <xf numFmtId="0" fontId="7" fillId="8" borderId="25" xfId="0" applyFont="1" applyFill="1" applyBorder="1" applyAlignment="1">
      <alignment horizontal="right"/>
    </xf>
    <xf numFmtId="0" fontId="7" fillId="8" borderId="31" xfId="0" applyFont="1" applyFill="1" applyBorder="1" applyAlignment="1">
      <alignment horizontal="right"/>
    </xf>
    <xf numFmtId="0" fontId="7" fillId="8" borderId="24" xfId="0" applyFont="1" applyFill="1" applyBorder="1" applyAlignment="1">
      <alignment horizontal="right"/>
    </xf>
    <xf numFmtId="0" fontId="7" fillId="8" borderId="0" xfId="0" applyFont="1" applyFill="1" applyAlignment="1">
      <alignment horizontal="right"/>
    </xf>
    <xf numFmtId="0" fontId="14" fillId="0" borderId="0" xfId="0" applyFont="1"/>
    <xf numFmtId="166" fontId="1" fillId="0" borderId="0" xfId="0" applyNumberFormat="1" applyFont="1"/>
    <xf numFmtId="166" fontId="14" fillId="0" borderId="0" xfId="0" applyNumberFormat="1" applyFont="1"/>
    <xf numFmtId="167" fontId="1" fillId="0" borderId="0" xfId="0" applyNumberFormat="1" applyFont="1"/>
    <xf numFmtId="168" fontId="1" fillId="0" borderId="0" xfId="0" applyNumberFormat="1" applyFont="1"/>
    <xf numFmtId="0" fontId="14" fillId="6" borderId="20" xfId="0" applyFont="1" applyFill="1" applyBorder="1"/>
    <xf numFmtId="0" fontId="14" fillId="6" borderId="21" xfId="0" applyFont="1" applyFill="1" applyBorder="1"/>
    <xf numFmtId="166" fontId="14" fillId="6" borderId="19" xfId="0" applyNumberFormat="1" applyFont="1" applyFill="1" applyBorder="1"/>
    <xf numFmtId="166" fontId="14" fillId="6" borderId="20" xfId="0" applyNumberFormat="1" applyFont="1" applyFill="1" applyBorder="1"/>
    <xf numFmtId="169" fontId="14" fillId="6" borderId="20" xfId="0" applyNumberFormat="1" applyFont="1" applyFill="1" applyBorder="1"/>
    <xf numFmtId="170" fontId="14" fillId="6" borderId="20" xfId="0" applyNumberFormat="1" applyFont="1" applyFill="1" applyBorder="1"/>
    <xf numFmtId="166" fontId="14" fillId="6" borderId="21" xfId="0" applyNumberFormat="1" applyFont="1" applyFill="1" applyBorder="1"/>
    <xf numFmtId="165" fontId="1" fillId="0" borderId="0" xfId="0" applyNumberFormat="1" applyFont="1"/>
    <xf numFmtId="168" fontId="14" fillId="6" borderId="19" xfId="0" applyNumberFormat="1" applyFont="1" applyFill="1" applyBorder="1"/>
    <xf numFmtId="171" fontId="14" fillId="6" borderId="20" xfId="0" applyNumberFormat="1" applyFont="1" applyFill="1" applyBorder="1"/>
    <xf numFmtId="168" fontId="14" fillId="6" borderId="20" xfId="0" applyNumberFormat="1" applyFont="1" applyFill="1" applyBorder="1"/>
    <xf numFmtId="170" fontId="14" fillId="6" borderId="19" xfId="0" applyNumberFormat="1" applyFont="1" applyFill="1" applyBorder="1"/>
    <xf numFmtId="170" fontId="14" fillId="6" borderId="21" xfId="0" applyNumberFormat="1" applyFont="1" applyFill="1" applyBorder="1"/>
    <xf numFmtId="168" fontId="14" fillId="0" borderId="0" xfId="0" applyNumberFormat="1" applyFont="1"/>
    <xf numFmtId="170" fontId="14" fillId="0" borderId="0" xfId="0" applyNumberFormat="1" applyFont="1"/>
    <xf numFmtId="171" fontId="14" fillId="0" borderId="0" xfId="0" applyNumberFormat="1" applyFont="1"/>
    <xf numFmtId="0" fontId="15" fillId="0" borderId="1" xfId="0" applyFont="1" applyBorder="1" applyAlignment="1">
      <alignment wrapText="1"/>
    </xf>
    <xf numFmtId="0" fontId="15" fillId="0" borderId="2" xfId="0" applyFont="1" applyBorder="1" applyAlignment="1">
      <alignment wrapText="1"/>
    </xf>
    <xf numFmtId="0" fontId="15" fillId="0" borderId="4" xfId="0" applyFont="1" applyBorder="1" applyAlignment="1">
      <alignment wrapText="1"/>
    </xf>
    <xf numFmtId="0" fontId="15" fillId="0" borderId="5" xfId="0" applyFont="1" applyBorder="1" applyAlignment="1">
      <alignment wrapText="1"/>
    </xf>
    <xf numFmtId="0" fontId="15" fillId="0" borderId="7" xfId="0" applyFont="1" applyBorder="1" applyAlignment="1">
      <alignment wrapText="1"/>
    </xf>
    <xf numFmtId="0" fontId="15" fillId="0" borderId="8" xfId="0" applyFont="1" applyBorder="1" applyAlignment="1">
      <alignment wrapText="1"/>
    </xf>
    <xf numFmtId="166" fontId="14" fillId="7" borderId="0" xfId="0" applyNumberFormat="1" applyFont="1" applyFill="1" applyAlignment="1">
      <alignment horizontal="right"/>
    </xf>
    <xf numFmtId="166" fontId="1" fillId="7" borderId="0" xfId="0" applyNumberFormat="1" applyFont="1" applyFill="1" applyAlignment="1">
      <alignment horizontal="right"/>
    </xf>
    <xf numFmtId="167" fontId="1" fillId="7" borderId="0" xfId="0" applyNumberFormat="1" applyFont="1" applyFill="1" applyAlignment="1">
      <alignment horizontal="right"/>
    </xf>
    <xf numFmtId="168" fontId="1" fillId="7" borderId="0" xfId="0" applyNumberFormat="1" applyFont="1" applyFill="1" applyAlignment="1">
      <alignment horizontal="right"/>
    </xf>
    <xf numFmtId="166" fontId="1" fillId="7" borderId="32" xfId="0" applyNumberFormat="1" applyFont="1" applyFill="1" applyBorder="1" applyAlignment="1">
      <alignment horizontal="right"/>
    </xf>
    <xf numFmtId="0" fontId="5" fillId="3" borderId="0" xfId="0" applyFont="1" applyFill="1" applyAlignment="1">
      <alignment wrapText="1"/>
    </xf>
    <xf numFmtId="169" fontId="1" fillId="0" borderId="0" xfId="0" applyNumberFormat="1" applyFont="1"/>
    <xf numFmtId="0" fontId="14" fillId="0" borderId="1" xfId="0" applyFont="1" applyBorder="1"/>
    <xf numFmtId="0" fontId="14" fillId="0" borderId="2" xfId="0" applyFont="1" applyBorder="1"/>
    <xf numFmtId="172" fontId="14" fillId="0" borderId="2" xfId="0" applyNumberFormat="1" applyFont="1" applyBorder="1"/>
    <xf numFmtId="169" fontId="14" fillId="0" borderId="2" xfId="0" applyNumberFormat="1" applyFont="1" applyBorder="1"/>
    <xf numFmtId="0" fontId="7" fillId="0" borderId="2" xfId="0" applyFont="1" applyBorder="1" applyAlignment="1">
      <alignment wrapText="1"/>
    </xf>
    <xf numFmtId="0" fontId="14" fillId="0" borderId="4" xfId="0" applyFont="1" applyBorder="1"/>
    <xf numFmtId="0" fontId="14" fillId="0" borderId="5" xfId="0" applyFont="1" applyBorder="1"/>
    <xf numFmtId="172" fontId="14" fillId="0" borderId="5" xfId="0" applyNumberFormat="1" applyFont="1" applyBorder="1"/>
    <xf numFmtId="169" fontId="14" fillId="0" borderId="5" xfId="0" applyNumberFormat="1" applyFont="1" applyBorder="1"/>
    <xf numFmtId="0" fontId="7" fillId="0" borderId="5" xfId="0" applyFont="1" applyBorder="1" applyAlignment="1">
      <alignment wrapText="1"/>
    </xf>
    <xf numFmtId="0" fontId="14" fillId="0" borderId="7" xfId="0" applyFont="1" applyBorder="1"/>
    <xf numFmtId="0" fontId="14" fillId="0" borderId="8" xfId="0" applyFont="1" applyBorder="1"/>
    <xf numFmtId="172" fontId="14" fillId="0" borderId="8" xfId="0" applyNumberFormat="1" applyFont="1" applyBorder="1"/>
    <xf numFmtId="169" fontId="14" fillId="0" borderId="8" xfId="0" applyNumberFormat="1" applyFont="1" applyBorder="1"/>
    <xf numFmtId="0" fontId="7" fillId="0" borderId="8" xfId="0" applyFont="1" applyBorder="1" applyAlignment="1">
      <alignment wrapText="1"/>
    </xf>
    <xf numFmtId="169" fontId="8" fillId="9" borderId="0" xfId="0" applyNumberFormat="1" applyFont="1" applyFill="1"/>
    <xf numFmtId="168" fontId="1" fillId="0" borderId="2" xfId="0" applyNumberFormat="1" applyFont="1" applyBorder="1"/>
    <xf numFmtId="168" fontId="14" fillId="0" borderId="2" xfId="0" applyNumberFormat="1" applyFont="1" applyBorder="1"/>
    <xf numFmtId="168" fontId="1" fillId="0" borderId="5" xfId="0" applyNumberFormat="1" applyFont="1" applyBorder="1"/>
    <xf numFmtId="168" fontId="14" fillId="0" borderId="5" xfId="0" applyNumberFormat="1" applyFont="1" applyBorder="1"/>
    <xf numFmtId="168" fontId="1" fillId="0" borderId="8" xfId="0" applyNumberFormat="1" applyFont="1" applyBorder="1"/>
    <xf numFmtId="168" fontId="14" fillId="0" borderId="8" xfId="0" applyNumberFormat="1" applyFont="1" applyBorder="1"/>
    <xf numFmtId="170" fontId="1" fillId="0" borderId="0" xfId="0" applyNumberFormat="1" applyFont="1"/>
    <xf numFmtId="171" fontId="1" fillId="0" borderId="0" xfId="0" applyNumberFormat="1" applyFont="1"/>
    <xf numFmtId="166" fontId="1" fillId="0" borderId="2" xfId="0" applyNumberFormat="1" applyFont="1" applyBorder="1" applyAlignment="1">
      <alignment wrapText="1"/>
    </xf>
    <xf numFmtId="166" fontId="1" fillId="0" borderId="5" xfId="0" applyNumberFormat="1" applyFont="1" applyBorder="1" applyAlignment="1">
      <alignment wrapText="1"/>
    </xf>
    <xf numFmtId="167" fontId="1" fillId="0" borderId="5" xfId="0" applyNumberFormat="1" applyFont="1" applyBorder="1" applyAlignment="1">
      <alignment wrapText="1"/>
    </xf>
    <xf numFmtId="168" fontId="1" fillId="0" borderId="5" xfId="0" applyNumberFormat="1" applyFont="1" applyBorder="1" applyAlignment="1">
      <alignment wrapText="1"/>
    </xf>
    <xf numFmtId="169" fontId="1" fillId="0" borderId="5" xfId="0" applyNumberFormat="1" applyFont="1" applyBorder="1" applyAlignment="1">
      <alignment wrapText="1"/>
    </xf>
    <xf numFmtId="170" fontId="1" fillId="0" borderId="5" xfId="0" applyNumberFormat="1" applyFont="1" applyBorder="1" applyAlignment="1">
      <alignment wrapText="1"/>
    </xf>
    <xf numFmtId="171" fontId="1" fillId="0" borderId="5" xfId="0" applyNumberFormat="1" applyFont="1" applyBorder="1" applyAlignment="1">
      <alignment wrapText="1"/>
    </xf>
    <xf numFmtId="171" fontId="1" fillId="0" borderId="8" xfId="0" applyNumberFormat="1" applyFont="1" applyBorder="1" applyAlignment="1">
      <alignment wrapText="1"/>
    </xf>
    <xf numFmtId="0" fontId="14" fillId="0" borderId="2" xfId="0" applyFont="1" applyBorder="1" applyAlignment="1">
      <alignment wrapText="1"/>
    </xf>
    <xf numFmtId="169" fontId="1" fillId="0" borderId="2" xfId="0" applyNumberFormat="1" applyFont="1" applyBorder="1" applyAlignment="1">
      <alignment wrapText="1"/>
    </xf>
    <xf numFmtId="166" fontId="14" fillId="0" borderId="2" xfId="0" applyNumberFormat="1" applyFont="1" applyBorder="1" applyAlignment="1">
      <alignment wrapText="1"/>
    </xf>
    <xf numFmtId="0" fontId="14" fillId="0" borderId="5" xfId="0" applyFont="1" applyBorder="1" applyAlignment="1">
      <alignment wrapText="1"/>
    </xf>
    <xf numFmtId="166" fontId="14" fillId="0" borderId="5" xfId="0" applyNumberFormat="1" applyFont="1" applyBorder="1" applyAlignment="1">
      <alignment wrapText="1"/>
    </xf>
    <xf numFmtId="169" fontId="1" fillId="0" borderId="8" xfId="0" applyNumberFormat="1" applyFont="1" applyBorder="1" applyAlignment="1">
      <alignment wrapText="1"/>
    </xf>
    <xf numFmtId="0" fontId="8" fillId="0" borderId="33" xfId="0" applyFont="1" applyBorder="1"/>
    <xf numFmtId="168" fontId="8" fillId="0" borderId="33" xfId="0" applyNumberFormat="1" applyFont="1" applyBorder="1"/>
    <xf numFmtId="170" fontId="8" fillId="0" borderId="33" xfId="0" applyNumberFormat="1" applyFont="1" applyBorder="1"/>
    <xf numFmtId="166" fontId="8" fillId="6" borderId="18" xfId="0" applyNumberFormat="1" applyFont="1" applyFill="1" applyBorder="1"/>
    <xf numFmtId="173" fontId="1" fillId="0" borderId="0" xfId="0" applyNumberFormat="1" applyFont="1"/>
    <xf numFmtId="166" fontId="8" fillId="0" borderId="33" xfId="0" applyNumberFormat="1" applyFont="1" applyBorder="1"/>
    <xf numFmtId="0" fontId="5" fillId="3" borderId="0" xfId="0" applyFont="1" applyFill="1" applyAlignment="1">
      <alignment horizontal="right"/>
    </xf>
    <xf numFmtId="0" fontId="5" fillId="3" borderId="0" xfId="0" applyFont="1" applyFill="1" applyAlignment="1">
      <alignment horizontal="left"/>
    </xf>
    <xf numFmtId="169" fontId="1" fillId="0" borderId="0" xfId="0" applyNumberFormat="1" applyFont="1" applyAlignment="1">
      <alignment horizontal="right"/>
    </xf>
    <xf numFmtId="171" fontId="8" fillId="0" borderId="33" xfId="0" applyNumberFormat="1" applyFont="1" applyBorder="1"/>
    <xf numFmtId="164" fontId="8" fillId="0" borderId="33" xfId="0" applyNumberFormat="1" applyFont="1" applyBorder="1"/>
    <xf numFmtId="170" fontId="1" fillId="0" borderId="18" xfId="0" applyNumberFormat="1" applyFont="1" applyBorder="1" applyAlignment="1">
      <alignment horizontal="right"/>
    </xf>
    <xf numFmtId="0" fontId="1" fillId="0" borderId="22" xfId="0" applyFont="1" applyBorder="1" applyAlignment="1">
      <alignment wrapText="1"/>
    </xf>
    <xf numFmtId="170" fontId="1" fillId="0" borderId="21" xfId="0" applyNumberFormat="1" applyFont="1" applyBorder="1" applyAlignment="1">
      <alignment wrapText="1"/>
    </xf>
    <xf numFmtId="0" fontId="1" fillId="0" borderId="23" xfId="0" applyFont="1" applyBorder="1" applyAlignment="1">
      <alignment wrapText="1"/>
    </xf>
    <xf numFmtId="0" fontId="1" fillId="0" borderId="24" xfId="0" applyFont="1" applyBorder="1" applyAlignment="1">
      <alignment wrapText="1"/>
    </xf>
    <xf numFmtId="170" fontId="1" fillId="0" borderId="18" xfId="0" applyNumberFormat="1" applyFont="1" applyBorder="1" applyAlignment="1">
      <alignment wrapText="1"/>
    </xf>
    <xf numFmtId="0" fontId="1" fillId="0" borderId="25" xfId="0" applyFont="1" applyBorder="1" applyAlignment="1">
      <alignment wrapText="1"/>
    </xf>
    <xf numFmtId="0" fontId="1" fillId="0" borderId="26" xfId="0" applyFont="1" applyBorder="1" applyAlignment="1">
      <alignment wrapText="1"/>
    </xf>
    <xf numFmtId="170" fontId="1" fillId="0" borderId="19" xfId="0" applyNumberFormat="1" applyFont="1" applyBorder="1" applyAlignment="1">
      <alignment wrapText="1"/>
    </xf>
    <xf numFmtId="0" fontId="1" fillId="0" borderId="27" xfId="0" applyFont="1" applyBorder="1" applyAlignment="1">
      <alignment wrapText="1"/>
    </xf>
    <xf numFmtId="0" fontId="8" fillId="7" borderId="25" xfId="0" applyFont="1" applyFill="1" applyBorder="1" applyAlignment="1">
      <alignment horizontal="right"/>
    </xf>
    <xf numFmtId="0" fontId="8" fillId="7" borderId="31" xfId="0" applyFont="1" applyFill="1" applyBorder="1" applyAlignment="1">
      <alignment horizontal="right"/>
    </xf>
    <xf numFmtId="0" fontId="8" fillId="7" borderId="24" xfId="0" applyFont="1" applyFill="1" applyBorder="1" applyAlignment="1">
      <alignment horizontal="right"/>
    </xf>
    <xf numFmtId="0" fontId="8" fillId="3" borderId="0" xfId="0" applyFont="1" applyFill="1"/>
    <xf numFmtId="0" fontId="8" fillId="3" borderId="0" xfId="0" applyFont="1" applyFill="1" applyAlignment="1">
      <alignment horizontal="right"/>
    </xf>
    <xf numFmtId="0" fontId="8" fillId="8" borderId="25" xfId="0" applyFont="1" applyFill="1" applyBorder="1" applyAlignment="1">
      <alignment horizontal="right"/>
    </xf>
    <xf numFmtId="0" fontId="8" fillId="8" borderId="31" xfId="0" applyFont="1" applyFill="1" applyBorder="1" applyAlignment="1">
      <alignment horizontal="right"/>
    </xf>
    <xf numFmtId="0" fontId="8" fillId="8" borderId="24" xfId="0" applyFont="1" applyFill="1" applyBorder="1" applyAlignment="1">
      <alignment horizontal="right"/>
    </xf>
    <xf numFmtId="0" fontId="8" fillId="9" borderId="0" xfId="0" applyFont="1" applyFill="1" applyAlignment="1">
      <alignment horizontal="center"/>
    </xf>
    <xf numFmtId="0" fontId="8" fillId="4" borderId="18" xfId="0" applyFont="1" applyFill="1" applyBorder="1" applyAlignment="1">
      <alignment horizontal="center"/>
    </xf>
    <xf numFmtId="0" fontId="1" fillId="0" borderId="37" xfId="0" applyFont="1" applyBorder="1"/>
    <xf numFmtId="168" fontId="1" fillId="0" borderId="37" xfId="0" applyNumberFormat="1" applyFont="1" applyBorder="1" applyAlignment="1">
      <alignment horizontal="right"/>
    </xf>
    <xf numFmtId="170" fontId="1" fillId="0" borderId="37" xfId="0" applyNumberFormat="1" applyFont="1" applyBorder="1" applyAlignment="1">
      <alignment horizontal="right"/>
    </xf>
    <xf numFmtId="0" fontId="12" fillId="6" borderId="46" xfId="0" applyFont="1" applyFill="1" applyBorder="1" applyAlignment="1">
      <alignment horizontal="center"/>
    </xf>
    <xf numFmtId="0" fontId="12" fillId="6" borderId="47" xfId="0" applyFont="1" applyFill="1" applyBorder="1" applyAlignment="1">
      <alignment horizontal="center"/>
    </xf>
    <xf numFmtId="167" fontId="1" fillId="0" borderId="37" xfId="0" applyNumberFormat="1" applyFont="1" applyBorder="1"/>
    <xf numFmtId="0" fontId="17" fillId="0" borderId="0" xfId="0" applyFont="1"/>
    <xf numFmtId="170" fontId="17" fillId="0" borderId="0" xfId="0" applyNumberFormat="1" applyFont="1"/>
    <xf numFmtId="0" fontId="17" fillId="0" borderId="37" xfId="0" applyFont="1" applyBorder="1"/>
    <xf numFmtId="170" fontId="17" fillId="0" borderId="37" xfId="0" applyNumberFormat="1" applyFont="1" applyBorder="1"/>
    <xf numFmtId="166" fontId="21" fillId="3" borderId="0" xfId="0" applyNumberFormat="1" applyFont="1" applyFill="1" applyAlignment="1">
      <alignment horizontal="right"/>
    </xf>
    <xf numFmtId="170" fontId="0" fillId="0" borderId="18" xfId="0" applyNumberFormat="1" applyBorder="1" applyAlignment="1">
      <alignment horizontal="right"/>
    </xf>
    <xf numFmtId="0" fontId="1" fillId="0" borderId="21" xfId="0" applyFont="1" applyBorder="1" applyAlignment="1">
      <alignment wrapText="1"/>
    </xf>
    <xf numFmtId="0" fontId="1" fillId="0" borderId="18" xfId="0" applyFont="1" applyBorder="1" applyAlignment="1">
      <alignment wrapText="1"/>
    </xf>
    <xf numFmtId="0" fontId="1" fillId="0" borderId="19" xfId="0" applyFont="1" applyBorder="1" applyAlignment="1">
      <alignment wrapText="1"/>
    </xf>
    <xf numFmtId="0" fontId="17" fillId="0" borderId="22" xfId="0" applyFont="1" applyBorder="1" applyAlignment="1">
      <alignment wrapText="1"/>
    </xf>
    <xf numFmtId="0" fontId="17" fillId="0" borderId="24" xfId="0" applyFont="1" applyBorder="1" applyAlignment="1">
      <alignment wrapText="1"/>
    </xf>
    <xf numFmtId="0" fontId="17" fillId="0" borderId="26" xfId="0" applyFont="1" applyBorder="1" applyAlignment="1">
      <alignment wrapText="1"/>
    </xf>
    <xf numFmtId="164" fontId="14" fillId="0" borderId="0" xfId="0" applyNumberFormat="1" applyFont="1"/>
    <xf numFmtId="166" fontId="12" fillId="3" borderId="0" xfId="0" applyNumberFormat="1" applyFont="1" applyFill="1" applyAlignment="1">
      <alignment horizontal="right"/>
    </xf>
    <xf numFmtId="166" fontId="12" fillId="8" borderId="0" xfId="0" applyNumberFormat="1" applyFont="1" applyFill="1"/>
    <xf numFmtId="0" fontId="2" fillId="2" borderId="0" xfId="0" applyFont="1" applyFill="1" applyAlignment="1">
      <alignment vertical="center"/>
    </xf>
    <xf numFmtId="0" fontId="3" fillId="3" borderId="0" xfId="0" applyFont="1" applyFill="1"/>
    <xf numFmtId="0" fontId="4" fillId="0" borderId="0" xfId="0" applyFont="1" applyAlignment="1">
      <alignment vertical="center"/>
    </xf>
    <xf numFmtId="0" fontId="5" fillId="2" borderId="0" xfId="0" applyFont="1" applyFill="1" applyAlignment="1">
      <alignment vertical="center"/>
    </xf>
    <xf numFmtId="0" fontId="1" fillId="0" borderId="2" xfId="0" applyFont="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9" fillId="2" borderId="0" xfId="0" applyFont="1" applyFill="1" applyAlignment="1">
      <alignment horizontal="center" vertical="center"/>
    </xf>
    <xf numFmtId="0" fontId="10" fillId="5" borderId="10" xfId="0" applyFont="1" applyFill="1" applyBorder="1" applyAlignment="1">
      <alignment vertical="center" wrapText="1"/>
    </xf>
    <xf numFmtId="0" fontId="10" fillId="5" borderId="11" xfId="0" applyFont="1" applyFill="1" applyBorder="1" applyAlignment="1">
      <alignment vertical="center" wrapText="1"/>
    </xf>
    <xf numFmtId="0" fontId="10" fillId="5" borderId="12" xfId="0" applyFont="1" applyFill="1" applyBorder="1" applyAlignment="1">
      <alignment vertical="center" wrapText="1"/>
    </xf>
    <xf numFmtId="0" fontId="10" fillId="5" borderId="13" xfId="0" applyFont="1" applyFill="1" applyBorder="1" applyAlignment="1">
      <alignment vertical="center" wrapText="1"/>
    </xf>
    <xf numFmtId="0" fontId="10" fillId="5" borderId="0" xfId="0" applyFont="1" applyFill="1" applyAlignment="1">
      <alignment vertical="center" wrapText="1"/>
    </xf>
    <xf numFmtId="0" fontId="10" fillId="5" borderId="14" xfId="0" applyFont="1" applyFill="1" applyBorder="1" applyAlignment="1">
      <alignment vertical="center" wrapText="1"/>
    </xf>
    <xf numFmtId="0" fontId="10" fillId="5" borderId="15" xfId="0" applyFont="1" applyFill="1" applyBorder="1" applyAlignment="1">
      <alignment vertical="center" wrapText="1"/>
    </xf>
    <xf numFmtId="0" fontId="10" fillId="5" borderId="16" xfId="0" applyFont="1" applyFill="1" applyBorder="1" applyAlignment="1">
      <alignment vertical="center" wrapText="1"/>
    </xf>
    <xf numFmtId="0" fontId="10" fillId="5" borderId="17" xfId="0" applyFont="1" applyFill="1" applyBorder="1" applyAlignment="1">
      <alignment vertical="center" wrapText="1"/>
    </xf>
    <xf numFmtId="0" fontId="8" fillId="2" borderId="0" xfId="0" applyFont="1" applyFill="1" applyAlignment="1">
      <alignment vertical="center"/>
    </xf>
    <xf numFmtId="0" fontId="16" fillId="3" borderId="0" xfId="0" applyFont="1" applyFill="1"/>
    <xf numFmtId="0" fontId="5" fillId="3" borderId="0" xfId="0" applyFont="1" applyFill="1" applyAlignment="1">
      <alignment horizontal="center"/>
    </xf>
    <xf numFmtId="0" fontId="18" fillId="6" borderId="38" xfId="0" applyFont="1" applyFill="1" applyBorder="1" applyAlignment="1">
      <alignment horizontal="center" vertical="center"/>
    </xf>
    <xf numFmtId="0" fontId="18" fillId="6" borderId="39" xfId="0" applyFont="1" applyFill="1" applyBorder="1" applyAlignment="1">
      <alignment horizontal="center" vertical="center"/>
    </xf>
    <xf numFmtId="0" fontId="18" fillId="6" borderId="40" xfId="0" applyFont="1" applyFill="1" applyBorder="1" applyAlignment="1">
      <alignment horizontal="center" vertical="center"/>
    </xf>
    <xf numFmtId="0" fontId="18" fillId="6" borderId="41" xfId="0" applyFont="1" applyFill="1" applyBorder="1" applyAlignment="1">
      <alignment horizontal="center" vertical="center"/>
    </xf>
    <xf numFmtId="0" fontId="18" fillId="6" borderId="0" xfId="0" applyFont="1" applyFill="1" applyAlignment="1">
      <alignment horizontal="center" vertical="center"/>
    </xf>
    <xf numFmtId="0" fontId="18" fillId="6" borderId="42" xfId="0" applyFont="1" applyFill="1" applyBorder="1" applyAlignment="1">
      <alignment horizontal="center" vertical="center"/>
    </xf>
    <xf numFmtId="0" fontId="18" fillId="6" borderId="43" xfId="0" applyFont="1" applyFill="1" applyBorder="1" applyAlignment="1">
      <alignment horizontal="center" vertical="center"/>
    </xf>
    <xf numFmtId="0" fontId="18" fillId="6" borderId="44" xfId="0" applyFont="1" applyFill="1" applyBorder="1" applyAlignment="1">
      <alignment horizontal="center" vertical="center"/>
    </xf>
    <xf numFmtId="0" fontId="18" fillId="6" borderId="45" xfId="0" applyFont="1" applyFill="1" applyBorder="1" applyAlignment="1">
      <alignment horizontal="center" vertical="center"/>
    </xf>
    <xf numFmtId="0" fontId="19" fillId="4" borderId="27" xfId="0" applyFont="1" applyFill="1" applyBorder="1" applyAlignment="1">
      <alignment horizontal="center" vertical="center"/>
    </xf>
    <xf numFmtId="0" fontId="19" fillId="4" borderId="34" xfId="0" applyFont="1" applyFill="1" applyBorder="1" applyAlignment="1">
      <alignment horizontal="center" vertical="center"/>
    </xf>
    <xf numFmtId="0" fontId="19" fillId="4" borderId="26" xfId="0" applyFont="1" applyFill="1" applyBorder="1" applyAlignment="1">
      <alignment horizontal="center" vertical="center"/>
    </xf>
    <xf numFmtId="0" fontId="19" fillId="4" borderId="35" xfId="0" applyFont="1" applyFill="1" applyBorder="1" applyAlignment="1">
      <alignment horizontal="center" vertical="center"/>
    </xf>
    <xf numFmtId="0" fontId="19" fillId="4" borderId="0" xfId="0" applyFont="1" applyFill="1" applyAlignment="1">
      <alignment horizontal="center" vertical="center"/>
    </xf>
    <xf numFmtId="0" fontId="19" fillId="4" borderId="36" xfId="0" applyFont="1" applyFill="1" applyBorder="1" applyAlignment="1">
      <alignment horizontal="center" vertical="center"/>
    </xf>
    <xf numFmtId="0" fontId="19" fillId="4" borderId="23" xfId="0" applyFont="1" applyFill="1" applyBorder="1" applyAlignment="1">
      <alignment horizontal="center" vertical="center"/>
    </xf>
    <xf numFmtId="0" fontId="19" fillId="4" borderId="37" xfId="0" applyFont="1" applyFill="1" applyBorder="1" applyAlignment="1">
      <alignment horizontal="center" vertical="center"/>
    </xf>
    <xf numFmtId="0" fontId="19" fillId="4" borderId="22" xfId="0" applyFont="1" applyFill="1" applyBorder="1" applyAlignment="1">
      <alignment horizontal="center" vertical="center"/>
    </xf>
    <xf numFmtId="170" fontId="19" fillId="4" borderId="27" xfId="0" applyNumberFormat="1" applyFont="1" applyFill="1" applyBorder="1" applyAlignment="1">
      <alignment horizontal="center" vertical="center"/>
    </xf>
    <xf numFmtId="170" fontId="19" fillId="4" borderId="34" xfId="0" applyNumberFormat="1" applyFont="1" applyFill="1" applyBorder="1" applyAlignment="1">
      <alignment horizontal="center" vertical="center"/>
    </xf>
    <xf numFmtId="170" fontId="19" fillId="4" borderId="26" xfId="0" applyNumberFormat="1" applyFont="1" applyFill="1" applyBorder="1" applyAlignment="1">
      <alignment horizontal="center" vertical="center"/>
    </xf>
    <xf numFmtId="170" fontId="19" fillId="4" borderId="35" xfId="0" applyNumberFormat="1" applyFont="1" applyFill="1" applyBorder="1" applyAlignment="1">
      <alignment horizontal="center" vertical="center"/>
    </xf>
    <xf numFmtId="170" fontId="19" fillId="4" borderId="0" xfId="0" applyNumberFormat="1" applyFont="1" applyFill="1" applyAlignment="1">
      <alignment horizontal="center" vertical="center"/>
    </xf>
    <xf numFmtId="170" fontId="19" fillId="4" borderId="36" xfId="0" applyNumberFormat="1" applyFont="1" applyFill="1" applyBorder="1" applyAlignment="1">
      <alignment horizontal="center" vertical="center"/>
    </xf>
    <xf numFmtId="170" fontId="19" fillId="4" borderId="23" xfId="0" applyNumberFormat="1" applyFont="1" applyFill="1" applyBorder="1" applyAlignment="1">
      <alignment horizontal="center" vertical="center"/>
    </xf>
    <xf numFmtId="170" fontId="19" fillId="4" borderId="37" xfId="0" applyNumberFormat="1" applyFont="1" applyFill="1" applyBorder="1" applyAlignment="1">
      <alignment horizontal="center" vertical="center"/>
    </xf>
    <xf numFmtId="170" fontId="19" fillId="4" borderId="22" xfId="0" applyNumberFormat="1" applyFont="1" applyFill="1" applyBorder="1" applyAlignment="1">
      <alignment horizontal="center" vertical="center"/>
    </xf>
    <xf numFmtId="0" fontId="20" fillId="5" borderId="28" xfId="0" applyFont="1" applyFill="1" applyBorder="1" applyAlignment="1">
      <alignment horizontal="center"/>
    </xf>
    <xf numFmtId="0" fontId="20" fillId="5" borderId="29" xfId="0" applyFont="1" applyFill="1" applyBorder="1" applyAlignment="1">
      <alignment horizontal="center"/>
    </xf>
    <xf numFmtId="0" fontId="20" fillId="5" borderId="30" xfId="0" applyFont="1" applyFill="1" applyBorder="1" applyAlignment="1">
      <alignment horizontal="center"/>
    </xf>
    <xf numFmtId="0" fontId="5" fillId="3" borderId="0" xfId="0" applyFont="1" applyFill="1"/>
    <xf numFmtId="0" fontId="1" fillId="0" borderId="0" xfId="0" applyFont="1"/>
    <xf numFmtId="170" fontId="1" fillId="0" borderId="0" xfId="0" applyNumberFormat="1" applyFont="1" applyAlignment="1">
      <alignment horizontal="right"/>
    </xf>
    <xf numFmtId="168" fontId="1" fillId="0" borderId="0" xfId="0" applyNumberFormat="1" applyFont="1" applyAlignment="1">
      <alignment horizontal="right"/>
    </xf>
    <xf numFmtId="0" fontId="1" fillId="0" borderId="37" xfId="0" applyFont="1" applyBorder="1"/>
    <xf numFmtId="166" fontId="1" fillId="0" borderId="37" xfId="0" applyNumberFormat="1" applyFont="1" applyBorder="1" applyAlignment="1">
      <alignment horizontal="right"/>
    </xf>
    <xf numFmtId="0" fontId="10" fillId="5" borderId="0" xfId="0" applyFont="1" applyFill="1" applyAlignment="1">
      <alignment wrapText="1"/>
    </xf>
    <xf numFmtId="166" fontId="21" fillId="3" borderId="0" xfId="0" applyNumberFormat="1" applyFont="1" applyFill="1" applyAlignment="1">
      <alignment horizontal="left"/>
    </xf>
    <xf numFmtId="166" fontId="21" fillId="3" borderId="0" xfId="0" applyNumberFormat="1" applyFont="1" applyFill="1" applyAlignment="1">
      <alignment horizontal="right"/>
    </xf>
    <xf numFmtId="166" fontId="22" fillId="8" borderId="0" xfId="0" applyNumberFormat="1" applyFont="1" applyFill="1" applyAlignment="1">
      <alignment horizontal="right"/>
    </xf>
    <xf numFmtId="0" fontId="23" fillId="4" borderId="27" xfId="0" applyFont="1" applyFill="1" applyBorder="1" applyAlignment="1">
      <alignment vertical="center" wrapText="1"/>
    </xf>
    <xf numFmtId="0" fontId="23" fillId="4" borderId="34" xfId="0" applyFont="1" applyFill="1" applyBorder="1" applyAlignment="1">
      <alignment vertical="center" wrapText="1"/>
    </xf>
    <xf numFmtId="0" fontId="23" fillId="4" borderId="26" xfId="0" applyFont="1" applyFill="1" applyBorder="1" applyAlignment="1">
      <alignment vertical="center" wrapText="1"/>
    </xf>
    <xf numFmtId="0" fontId="23" fillId="4" borderId="35" xfId="0" applyFont="1" applyFill="1" applyBorder="1" applyAlignment="1">
      <alignment vertical="center" wrapText="1"/>
    </xf>
    <xf numFmtId="0" fontId="23" fillId="4" borderId="0" xfId="0" applyFont="1" applyFill="1" applyAlignment="1">
      <alignment vertical="center" wrapText="1"/>
    </xf>
    <xf numFmtId="0" fontId="23" fillId="4" borderId="36" xfId="0" applyFont="1" applyFill="1" applyBorder="1" applyAlignment="1">
      <alignment vertical="center" wrapText="1"/>
    </xf>
    <xf numFmtId="0" fontId="23" fillId="4" borderId="23" xfId="0" applyFont="1" applyFill="1" applyBorder="1" applyAlignment="1">
      <alignment vertical="center" wrapText="1"/>
    </xf>
    <xf numFmtId="0" fontId="23" fillId="4" borderId="37" xfId="0" applyFont="1" applyFill="1" applyBorder="1" applyAlignment="1">
      <alignment vertical="center" wrapText="1"/>
    </xf>
    <xf numFmtId="0" fontId="23" fillId="4" borderId="22" xfId="0" applyFont="1" applyFill="1" applyBorder="1" applyAlignment="1">
      <alignment vertical="center" wrapText="1"/>
    </xf>
    <xf numFmtId="0" fontId="10" fillId="5" borderId="28" xfId="0" applyFont="1" applyFill="1" applyBorder="1" applyAlignment="1">
      <alignment wrapText="1"/>
    </xf>
    <xf numFmtId="0" fontId="10" fillId="5" borderId="29" xfId="0" applyFont="1" applyFill="1" applyBorder="1" applyAlignment="1">
      <alignment wrapText="1"/>
    </xf>
    <xf numFmtId="0" fontId="10" fillId="5" borderId="30" xfId="0" applyFont="1" applyFill="1" applyBorder="1" applyAlignment="1">
      <alignment wrapText="1"/>
    </xf>
    <xf numFmtId="0" fontId="1" fillId="0" borderId="2" xfId="0" applyFont="1" applyBorder="1"/>
    <xf numFmtId="0" fontId="1" fillId="0" borderId="3" xfId="0" applyFont="1" applyBorder="1"/>
    <xf numFmtId="0" fontId="1" fillId="0" borderId="5" xfId="0" applyFont="1" applyBorder="1"/>
    <xf numFmtId="0" fontId="1" fillId="0" borderId="6" xfId="0" applyFont="1" applyBorder="1"/>
    <xf numFmtId="0" fontId="1" fillId="0" borderId="8" xfId="0" applyFont="1" applyBorder="1"/>
    <xf numFmtId="0" fontId="1" fillId="0" borderId="9" xfId="0" applyFont="1" applyBorder="1"/>
    <xf numFmtId="0" fontId="1" fillId="0" borderId="4" xfId="0" applyFont="1" applyBorder="1" applyAlignment="1">
      <alignment wrapText="1"/>
    </xf>
    <xf numFmtId="0" fontId="1" fillId="0" borderId="7" xfId="0" applyFont="1" applyBorder="1" applyAlignment="1">
      <alignment wrapText="1"/>
    </xf>
    <xf numFmtId="0" fontId="10" fillId="4" borderId="25" xfId="0" applyFont="1" applyFill="1" applyBorder="1" applyAlignment="1">
      <alignment wrapText="1"/>
    </xf>
    <xf numFmtId="0" fontId="10" fillId="4" borderId="31" xfId="0" applyFont="1" applyFill="1" applyBorder="1" applyAlignment="1">
      <alignment wrapText="1"/>
    </xf>
    <xf numFmtId="0" fontId="16" fillId="4" borderId="31" xfId="0" applyFont="1" applyFill="1" applyBorder="1" applyAlignment="1">
      <alignment wrapText="1"/>
    </xf>
    <xf numFmtId="0" fontId="16" fillId="4" borderId="24" xfId="0" applyFont="1" applyFill="1" applyBorder="1" applyAlignment="1">
      <alignment wrapText="1"/>
    </xf>
    <xf numFmtId="0" fontId="16" fillId="5" borderId="11" xfId="0" applyFont="1" applyFill="1" applyBorder="1" applyAlignment="1">
      <alignment vertical="center" wrapText="1"/>
    </xf>
    <xf numFmtId="0" fontId="16" fillId="5" borderId="12" xfId="0" applyFont="1" applyFill="1" applyBorder="1" applyAlignment="1">
      <alignment vertical="center" wrapText="1"/>
    </xf>
    <xf numFmtId="0" fontId="16" fillId="5" borderId="16" xfId="0" applyFont="1" applyFill="1" applyBorder="1" applyAlignment="1">
      <alignment vertical="center" wrapText="1"/>
    </xf>
    <xf numFmtId="0" fontId="16" fillId="5" borderId="17" xfId="0" applyFont="1" applyFill="1" applyBorder="1" applyAlignment="1">
      <alignment vertical="center" wrapText="1"/>
    </xf>
    <xf numFmtId="0" fontId="5" fillId="3" borderId="0" xfId="0" applyFont="1" applyFill="1" applyAlignment="1">
      <alignment horizontal="right"/>
    </xf>
    <xf numFmtId="0" fontId="8" fillId="0" borderId="0" xfId="0" applyFont="1" applyAlignment="1">
      <alignment horizontal="center"/>
    </xf>
    <xf numFmtId="0" fontId="1" fillId="0" borderId="0" xfId="0" applyFont="1" applyAlignment="1">
      <alignment horizontal="center"/>
    </xf>
  </cellXfs>
  <cellStyles count="1">
    <cellStyle name="Normal" xfId="0" builtinId="0"/>
  </cellStyles>
  <dxfs count="6">
    <dxf>
      <font>
        <b/>
        <color rgb="FF9C0006"/>
      </font>
      <fill>
        <patternFill patternType="solid">
          <bgColor rgb="FFFCE4D6"/>
        </patternFill>
      </fill>
    </dxf>
    <dxf>
      <font>
        <b/>
        <color rgb="FF166534"/>
      </font>
      <fill>
        <patternFill patternType="solid">
          <bgColor rgb="FFE2F0D9"/>
        </patternFill>
      </fill>
    </dxf>
    <dxf>
      <font>
        <b/>
        <color rgb="FF166534"/>
      </font>
      <fill>
        <patternFill patternType="solid">
          <bgColor rgb="FFE2F0D9"/>
        </patternFill>
      </fill>
    </dxf>
    <dxf>
      <font>
        <b/>
        <color rgb="FF9C0006"/>
      </font>
      <fill>
        <patternFill patternType="solid">
          <bgColor rgb="FFFCE4D6"/>
        </patternFill>
      </fill>
    </dxf>
    <dxf>
      <font>
        <b/>
        <color rgb="FF166534"/>
      </font>
      <fill>
        <patternFill patternType="solid">
          <bgColor rgb="FFE2F0D9"/>
        </patternFill>
      </fill>
    </dxf>
    <dxf>
      <font>
        <b/>
        <color rgb="FF166534"/>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Income Statement ($mm)</a:t>
            </a:r>
          </a:p>
        </c:rich>
      </c:tx>
      <c:overlay val="0"/>
    </c:title>
    <c:autoTitleDeleted val="0"/>
    <c:plotArea>
      <c:layout/>
      <c:barChart>
        <c:barDir val="col"/>
        <c:grouping val="clustered"/>
        <c:varyColors val="0"/>
        <c:ser>
          <c:idx val="0"/>
          <c:order val="0"/>
          <c:tx>
            <c:v>Revenue</c:v>
          </c:tx>
          <c:spPr>
            <a:solidFill>
              <a:srgbClr val="2A8C87"/>
            </a:solidFill>
          </c:spPr>
          <c:invertIfNegative val="1"/>
          <c:cat>
            <c:strRef>
              <c:f>Dashboard!$C$97:$C$102</c:f>
              <c:strCache>
                <c:ptCount val="6"/>
                <c:pt idx="0">
                  <c:v>2026A</c:v>
                </c:pt>
                <c:pt idx="1">
                  <c:v>2027F</c:v>
                </c:pt>
                <c:pt idx="2">
                  <c:v>2028F</c:v>
                </c:pt>
                <c:pt idx="3">
                  <c:v>2029F</c:v>
                </c:pt>
                <c:pt idx="4">
                  <c:v>2030F</c:v>
                </c:pt>
                <c:pt idx="5">
                  <c:v>2031F</c:v>
                </c:pt>
              </c:strCache>
            </c:strRef>
          </c:cat>
          <c:val>
            <c:numRef>
              <c:f>Dashboard!$D$97:$D$102</c:f>
              <c:numCache>
                <c:formatCode>General</c:formatCode>
                <c:ptCount val="6"/>
                <c:pt idx="0">
                  <c:v>46398</c:v>
                </c:pt>
                <c:pt idx="1">
                  <c:v>48253.919999999998</c:v>
                </c:pt>
                <c:pt idx="2">
                  <c:v>50666.616000000002</c:v>
                </c:pt>
                <c:pt idx="3">
                  <c:v>53453.279880000002</c:v>
                </c:pt>
                <c:pt idx="4">
                  <c:v>56393.2102734</c:v>
                </c:pt>
                <c:pt idx="5">
                  <c:v>59494.836838436997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43DA-41E9-9888-90109F2D6E3E}"/>
            </c:ext>
          </c:extLst>
        </c:ser>
        <c:ser>
          <c:idx val="1"/>
          <c:order val="1"/>
          <c:tx>
            <c:v>Gross profit</c:v>
          </c:tx>
          <c:spPr>
            <a:solidFill>
              <a:srgbClr val="8CB9B1"/>
            </a:solidFill>
          </c:spPr>
          <c:invertIfNegative val="1"/>
          <c:cat>
            <c:strRef>
              <c:f>Dashboard!$C$97:$C$102</c:f>
              <c:strCache>
                <c:ptCount val="6"/>
                <c:pt idx="0">
                  <c:v>2026A</c:v>
                </c:pt>
                <c:pt idx="1">
                  <c:v>2027F</c:v>
                </c:pt>
                <c:pt idx="2">
                  <c:v>2028F</c:v>
                </c:pt>
                <c:pt idx="3">
                  <c:v>2029F</c:v>
                </c:pt>
                <c:pt idx="4">
                  <c:v>2030F</c:v>
                </c:pt>
                <c:pt idx="5">
                  <c:v>2031F</c:v>
                </c:pt>
              </c:strCache>
            </c:strRef>
          </c:cat>
          <c:val>
            <c:numRef>
              <c:f>Dashboard!$E$97:$E$102</c:f>
              <c:numCache>
                <c:formatCode>General</c:formatCode>
                <c:ptCount val="6"/>
                <c:pt idx="0">
                  <c:v>19911</c:v>
                </c:pt>
                <c:pt idx="1">
                  <c:v>20845.693439999999</c:v>
                </c:pt>
                <c:pt idx="2">
                  <c:v>22191.977808</c:v>
                </c:pt>
                <c:pt idx="3">
                  <c:v>23733.25626672</c:v>
                </c:pt>
                <c:pt idx="4">
                  <c:v>25320.551412756602</c:v>
                </c:pt>
                <c:pt idx="5">
                  <c:v>26951.161087811961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43DA-41E9-9888-90109F2D6E3E}"/>
            </c:ext>
          </c:extLst>
        </c:ser>
        <c:ser>
          <c:idx val="2"/>
          <c:order val="2"/>
          <c:tx>
            <c:v>EBIT</c:v>
          </c:tx>
          <c:spPr>
            <a:solidFill>
              <a:srgbClr val="C49A3A"/>
            </a:solidFill>
          </c:spPr>
          <c:invertIfNegative val="1"/>
          <c:cat>
            <c:strRef>
              <c:f>Dashboard!$C$97:$C$102</c:f>
              <c:strCache>
                <c:ptCount val="6"/>
                <c:pt idx="0">
                  <c:v>2026A</c:v>
                </c:pt>
                <c:pt idx="1">
                  <c:v>2027F</c:v>
                </c:pt>
                <c:pt idx="2">
                  <c:v>2028F</c:v>
                </c:pt>
                <c:pt idx="3">
                  <c:v>2029F</c:v>
                </c:pt>
                <c:pt idx="4">
                  <c:v>2030F</c:v>
                </c:pt>
                <c:pt idx="5">
                  <c:v>2031F</c:v>
                </c:pt>
              </c:strCache>
            </c:strRef>
          </c:cat>
          <c:val>
            <c:numRef>
              <c:f>Dashboard!$F$97:$F$102</c:f>
              <c:numCache>
                <c:formatCode>General</c:formatCode>
                <c:ptCount val="6"/>
                <c:pt idx="0">
                  <c:v>3797</c:v>
                </c:pt>
                <c:pt idx="1">
                  <c:v>3956.8214399999997</c:v>
                </c:pt>
                <c:pt idx="2">
                  <c:v>4762.6619039999969</c:v>
                </c:pt>
                <c:pt idx="3">
                  <c:v>5719.5009471599988</c:v>
                </c:pt>
                <c:pt idx="4">
                  <c:v>6654.3988122612027</c:v>
                </c:pt>
                <c:pt idx="5">
                  <c:v>7555.8442784814997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43DA-41E9-9888-90109F2D6E3E}"/>
            </c:ext>
          </c:extLst>
        </c:ser>
        <c:ser>
          <c:idx val="3"/>
          <c:order val="3"/>
          <c:tx>
            <c:v>Net income</c:v>
          </c:tx>
          <c:spPr>
            <a:solidFill>
              <a:srgbClr val="263238"/>
            </a:solidFill>
          </c:spPr>
          <c:invertIfNegative val="1"/>
          <c:cat>
            <c:strRef>
              <c:f>Dashboard!$C$97:$C$102</c:f>
              <c:strCache>
                <c:ptCount val="6"/>
                <c:pt idx="0">
                  <c:v>2026A</c:v>
                </c:pt>
                <c:pt idx="1">
                  <c:v>2027F</c:v>
                </c:pt>
                <c:pt idx="2">
                  <c:v>2028F</c:v>
                </c:pt>
                <c:pt idx="3">
                  <c:v>2029F</c:v>
                </c:pt>
                <c:pt idx="4">
                  <c:v>2030F</c:v>
                </c:pt>
                <c:pt idx="5">
                  <c:v>2031F</c:v>
                </c:pt>
              </c:strCache>
            </c:strRef>
          </c:cat>
          <c:val>
            <c:numRef>
              <c:f>Dashboard!$G$97:$G$102</c:f>
              <c:numCache>
                <c:formatCode>General</c:formatCode>
                <c:ptCount val="6"/>
                <c:pt idx="0">
                  <c:v>3108</c:v>
                </c:pt>
                <c:pt idx="1">
                  <c:v>2995.4394679924449</c:v>
                </c:pt>
                <c:pt idx="2">
                  <c:v>3673.1320548403369</c:v>
                </c:pt>
                <c:pt idx="3">
                  <c:v>4479.561834815132</c:v>
                </c:pt>
                <c:pt idx="4">
                  <c:v>5276.1861673053681</c:v>
                </c:pt>
                <c:pt idx="5">
                  <c:v>6056.3910999060645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43DA-41E9-9888-90109F2D6E3E}"/>
            </c:ext>
          </c:extLst>
        </c:ser>
        <c:dLbls>
          <c:showLegendKey val="0"/>
          <c:showVal val="0"/>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Cash Flow Statement ($mm)</a:t>
            </a:r>
          </a:p>
        </c:rich>
      </c:tx>
      <c:overlay val="0"/>
    </c:title>
    <c:autoTitleDeleted val="0"/>
    <c:plotArea>
      <c:layout/>
      <c:barChart>
        <c:barDir val="col"/>
        <c:grouping val="clustered"/>
        <c:varyColors val="0"/>
        <c:ser>
          <c:idx val="0"/>
          <c:order val="0"/>
          <c:tx>
            <c:v>Operating</c:v>
          </c:tx>
          <c:spPr>
            <a:solidFill>
              <a:srgbClr val="2A8C87"/>
            </a:solidFill>
          </c:spPr>
          <c:invertIfNegative val="1"/>
          <c:cat>
            <c:strRef>
              <c:f>Dashboard!$J$97:$J$102</c:f>
              <c:strCache>
                <c:ptCount val="6"/>
                <c:pt idx="0">
                  <c:v>2026A</c:v>
                </c:pt>
                <c:pt idx="1">
                  <c:v>2027F</c:v>
                </c:pt>
                <c:pt idx="2">
                  <c:v>2028F</c:v>
                </c:pt>
                <c:pt idx="3">
                  <c:v>2029F</c:v>
                </c:pt>
                <c:pt idx="4">
                  <c:v>2030F</c:v>
                </c:pt>
                <c:pt idx="5">
                  <c:v>2031F</c:v>
                </c:pt>
              </c:strCache>
            </c:strRef>
          </c:cat>
          <c:val>
            <c:numRef>
              <c:f>Dashboard!$K$97:$K$102</c:f>
              <c:numCache>
                <c:formatCode>General</c:formatCode>
                <c:ptCount val="6"/>
                <c:pt idx="0">
                  <c:v>2868</c:v>
                </c:pt>
                <c:pt idx="1">
                  <c:v>4569.1813201025234</c:v>
                </c:pt>
                <c:pt idx="2">
                  <c:v>5323.0463760984267</c:v>
                </c:pt>
                <c:pt idx="3">
                  <c:v>6124.0375276779905</c:v>
                </c:pt>
                <c:pt idx="4">
                  <c:v>7012.9294639770451</c:v>
                </c:pt>
                <c:pt idx="5">
                  <c:v>7890.5742888744844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85B2-4995-A088-D5717AA528B3}"/>
            </c:ext>
          </c:extLst>
        </c:ser>
        <c:ser>
          <c:idx val="1"/>
          <c:order val="1"/>
          <c:tx>
            <c:v>Investing</c:v>
          </c:tx>
          <c:spPr>
            <a:solidFill>
              <a:srgbClr val="8CB9B1"/>
            </a:solidFill>
          </c:spPr>
          <c:invertIfNegative val="1"/>
          <c:cat>
            <c:strRef>
              <c:f>Dashboard!$J$97:$J$102</c:f>
              <c:strCache>
                <c:ptCount val="6"/>
                <c:pt idx="0">
                  <c:v>2026A</c:v>
                </c:pt>
                <c:pt idx="1">
                  <c:v>2027F</c:v>
                </c:pt>
                <c:pt idx="2">
                  <c:v>2028F</c:v>
                </c:pt>
                <c:pt idx="3">
                  <c:v>2029F</c:v>
                </c:pt>
                <c:pt idx="4">
                  <c:v>2030F</c:v>
                </c:pt>
                <c:pt idx="5">
                  <c:v>2031F</c:v>
                </c:pt>
              </c:strCache>
            </c:strRef>
          </c:cat>
          <c:val>
            <c:numRef>
              <c:f>Dashboard!$L$97:$L$102</c:f>
              <c:numCache>
                <c:formatCode>General</c:formatCode>
                <c:ptCount val="6"/>
                <c:pt idx="0">
                  <c:v>-488</c:v>
                </c:pt>
                <c:pt idx="1">
                  <c:v>-1045.2038399999997</c:v>
                </c:pt>
                <c:pt idx="2">
                  <c:v>-1085.7132000000006</c:v>
                </c:pt>
                <c:pt idx="3">
                  <c:v>-1096.4255702399998</c:v>
                </c:pt>
                <c:pt idx="4">
                  <c:v>-1097.3958359363999</c:v>
                </c:pt>
                <c:pt idx="5">
                  <c:v>-1095.1561435094277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85B2-4995-A088-D5717AA528B3}"/>
            </c:ext>
          </c:extLst>
        </c:ser>
        <c:ser>
          <c:idx val="2"/>
          <c:order val="2"/>
          <c:tx>
            <c:v>Financing</c:v>
          </c:tx>
          <c:spPr>
            <a:solidFill>
              <a:srgbClr val="C49A3A"/>
            </a:solidFill>
          </c:spPr>
          <c:invertIfNegative val="1"/>
          <c:cat>
            <c:strRef>
              <c:f>Dashboard!$J$97:$J$102</c:f>
              <c:strCache>
                <c:ptCount val="6"/>
                <c:pt idx="0">
                  <c:v>2026A</c:v>
                </c:pt>
                <c:pt idx="1">
                  <c:v>2027F</c:v>
                </c:pt>
                <c:pt idx="2">
                  <c:v>2028F</c:v>
                </c:pt>
                <c:pt idx="3">
                  <c:v>2029F</c:v>
                </c:pt>
                <c:pt idx="4">
                  <c:v>2030F</c:v>
                </c:pt>
                <c:pt idx="5">
                  <c:v>2031F</c:v>
                </c:pt>
              </c:strCache>
            </c:strRef>
          </c:cat>
          <c:val>
            <c:numRef>
              <c:f>Dashboard!$M$97:$M$102</c:f>
              <c:numCache>
                <c:formatCode>General</c:formatCode>
                <c:ptCount val="6"/>
                <c:pt idx="0">
                  <c:v>-2292</c:v>
                </c:pt>
                <c:pt idx="1">
                  <c:v>-2797.0356541950891</c:v>
                </c:pt>
                <c:pt idx="2">
                  <c:v>-3127.3418740010088</c:v>
                </c:pt>
                <c:pt idx="3">
                  <c:v>-3537.7371008890791</c:v>
                </c:pt>
                <c:pt idx="4">
                  <c:v>-3910.1879770371133</c:v>
                </c:pt>
                <c:pt idx="5">
                  <c:v>-4181.0151049483356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85B2-4995-A088-D5717AA528B3}"/>
            </c:ext>
          </c:extLst>
        </c:ser>
        <c:ser>
          <c:idx val="3"/>
          <c:order val="3"/>
          <c:tx>
            <c:v>Change in cash</c:v>
          </c:tx>
          <c:spPr>
            <a:solidFill>
              <a:srgbClr val="263238"/>
            </a:solidFill>
          </c:spPr>
          <c:invertIfNegative val="1"/>
          <c:cat>
            <c:strRef>
              <c:f>Dashboard!$J$97:$J$102</c:f>
              <c:strCache>
                <c:ptCount val="6"/>
                <c:pt idx="0">
                  <c:v>2026A</c:v>
                </c:pt>
                <c:pt idx="1">
                  <c:v>2027F</c:v>
                </c:pt>
                <c:pt idx="2">
                  <c:v>2028F</c:v>
                </c:pt>
                <c:pt idx="3">
                  <c:v>2029F</c:v>
                </c:pt>
                <c:pt idx="4">
                  <c:v>2030F</c:v>
                </c:pt>
                <c:pt idx="5">
                  <c:v>2031F</c:v>
                </c:pt>
              </c:strCache>
            </c:strRef>
          </c:cat>
          <c:val>
            <c:numRef>
              <c:f>Dashboard!$N$97:$N$102</c:f>
              <c:numCache>
                <c:formatCode>General</c:formatCode>
                <c:ptCount val="6"/>
                <c:pt idx="0">
                  <c:v>99</c:v>
                </c:pt>
                <c:pt idx="1">
                  <c:v>726.94182590743458</c:v>
                </c:pt>
                <c:pt idx="2">
                  <c:v>1109.9913020974168</c:v>
                </c:pt>
                <c:pt idx="3">
                  <c:v>1489.8748565489118</c:v>
                </c:pt>
                <c:pt idx="4">
                  <c:v>2005.3456510035321</c:v>
                </c:pt>
                <c:pt idx="5">
                  <c:v>2614.4030404167206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85B2-4995-A088-D5717AA528B3}"/>
            </c:ext>
          </c:extLst>
        </c:ser>
        <c:dLbls>
          <c:showLegendKey val="0"/>
          <c:showVal val="0"/>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Implied Value per Share — Valuation Ranges</a:t>
            </a:r>
          </a:p>
        </c:rich>
      </c:tx>
      <c:overlay val="0"/>
    </c:title>
    <c:autoTitleDeleted val="0"/>
    <c:plotArea>
      <c:layout/>
      <c:barChart>
        <c:barDir val="bar"/>
        <c:grouping val="stacked"/>
        <c:varyColors val="0"/>
        <c:ser>
          <c:idx val="0"/>
          <c:order val="0"/>
          <c:tx>
            <c:v>Base</c:v>
          </c:tx>
          <c:spPr>
            <a:solidFill>
              <a:srgbClr val="FFFFFF"/>
            </a:solidFill>
          </c:spPr>
          <c:invertIfNegative val="1"/>
          <c:cat>
            <c:strRef>
              <c:f>Dashboard!$X$61:$X$64</c:f>
              <c:strCache>
                <c:ptCount val="4"/>
                <c:pt idx="0">
                  <c:v>DCF sensitivity</c:v>
                </c:pt>
                <c:pt idx="1">
                  <c:v>Trading comparables P/E</c:v>
                </c:pt>
                <c:pt idx="2">
                  <c:v>Precedent transactions</c:v>
                </c:pt>
                <c:pt idx="3">
                  <c:v>52-week trading range</c:v>
                </c:pt>
              </c:strCache>
            </c:strRef>
          </c:cat>
          <c:val>
            <c:numRef>
              <c:f>Dashboard!$Y$61:$Y$64</c:f>
              <c:numCache>
                <c:formatCode>General</c:formatCode>
                <c:ptCount val="4"/>
                <c:pt idx="0">
                  <c:v>47.179598469949809</c:v>
                </c:pt>
                <c:pt idx="1">
                  <c:v>19.400032540433905</c:v>
                </c:pt>
                <c:pt idx="2">
                  <c:v>40.578985146754356</c:v>
                </c:pt>
                <c:pt idx="3">
                  <c:v>38.86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6E8-41CC-A6F2-B366E8DC9BB2}"/>
            </c:ext>
          </c:extLst>
        </c:ser>
        <c:ser>
          <c:idx val="1"/>
          <c:order val="1"/>
          <c:tx>
            <c:v>DCF</c:v>
          </c:tx>
          <c:spPr>
            <a:solidFill>
              <a:srgbClr val="2A8C87"/>
            </a:solidFill>
          </c:spPr>
          <c:invertIfNegative val="1"/>
          <c:cat>
            <c:strRef>
              <c:f>Dashboard!$X$61:$X$64</c:f>
              <c:strCache>
                <c:ptCount val="4"/>
                <c:pt idx="0">
                  <c:v>DCF sensitivity</c:v>
                </c:pt>
                <c:pt idx="1">
                  <c:v>Trading comparables P/E</c:v>
                </c:pt>
                <c:pt idx="2">
                  <c:v>Precedent transactions</c:v>
                </c:pt>
                <c:pt idx="3">
                  <c:v>52-week trading range</c:v>
                </c:pt>
              </c:strCache>
            </c:strRef>
          </c:cat>
          <c:val>
            <c:numRef>
              <c:f>Dashboard!$Z$61:$Z$64</c:f>
              <c:numCache>
                <c:formatCode>General</c:formatCode>
                <c:ptCount val="4"/>
                <c:pt idx="0">
                  <c:v>30.314648727397596</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F6E8-41CC-A6F2-B366E8DC9BB2}"/>
            </c:ext>
          </c:extLst>
        </c:ser>
        <c:ser>
          <c:idx val="2"/>
          <c:order val="2"/>
          <c:tx>
            <c:v>Trading comps</c:v>
          </c:tx>
          <c:spPr>
            <a:solidFill>
              <a:srgbClr val="263238"/>
            </a:solidFill>
          </c:spPr>
          <c:invertIfNegative val="1"/>
          <c:cat>
            <c:strRef>
              <c:f>Dashboard!$X$61:$X$64</c:f>
              <c:strCache>
                <c:ptCount val="4"/>
                <c:pt idx="0">
                  <c:v>DCF sensitivity</c:v>
                </c:pt>
                <c:pt idx="1">
                  <c:v>Trading comparables P/E</c:v>
                </c:pt>
                <c:pt idx="2">
                  <c:v>Precedent transactions</c:v>
                </c:pt>
                <c:pt idx="3">
                  <c:v>52-week trading range</c:v>
                </c:pt>
              </c:strCache>
            </c:strRef>
          </c:cat>
          <c:val>
            <c:numRef>
              <c:f>Dashboard!$AA$61:$AA$64</c:f>
              <c:numCache>
                <c:formatCode>General</c:formatCode>
                <c:ptCount val="4"/>
                <c:pt idx="0">
                  <c:v>0</c:v>
                </c:pt>
                <c:pt idx="1">
                  <c:v>19.202073024715183</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F6E8-41CC-A6F2-B366E8DC9BB2}"/>
            </c:ext>
          </c:extLst>
        </c:ser>
        <c:ser>
          <c:idx val="3"/>
          <c:order val="3"/>
          <c:tx>
            <c:v>Precedents</c:v>
          </c:tx>
          <c:spPr>
            <a:solidFill>
              <a:srgbClr val="C49A3A"/>
            </a:solidFill>
          </c:spPr>
          <c:invertIfNegative val="1"/>
          <c:cat>
            <c:strRef>
              <c:f>Dashboard!$X$61:$X$64</c:f>
              <c:strCache>
                <c:ptCount val="4"/>
                <c:pt idx="0">
                  <c:v>DCF sensitivity</c:v>
                </c:pt>
                <c:pt idx="1">
                  <c:v>Trading comparables P/E</c:v>
                </c:pt>
                <c:pt idx="2">
                  <c:v>Precedent transactions</c:v>
                </c:pt>
                <c:pt idx="3">
                  <c:v>52-week trading range</c:v>
                </c:pt>
              </c:strCache>
            </c:strRef>
          </c:cat>
          <c:val>
            <c:numRef>
              <c:f>Dashboard!$AB$61:$AB$64</c:f>
              <c:numCache>
                <c:formatCode>General</c:formatCode>
                <c:ptCount val="4"/>
                <c:pt idx="0">
                  <c:v>0</c:v>
                </c:pt>
                <c:pt idx="1">
                  <c:v>0</c:v>
                </c:pt>
                <c:pt idx="2">
                  <c:v>94.074182014227233</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F6E8-41CC-A6F2-B366E8DC9BB2}"/>
            </c:ext>
          </c:extLst>
        </c:ser>
        <c:ser>
          <c:idx val="4"/>
          <c:order val="4"/>
          <c:tx>
            <c:v>52-week range</c:v>
          </c:tx>
          <c:spPr>
            <a:solidFill>
              <a:srgbClr val="8A9A9A"/>
            </a:solidFill>
          </c:spPr>
          <c:invertIfNegative val="1"/>
          <c:cat>
            <c:strRef>
              <c:f>Dashboard!$X$61:$X$64</c:f>
              <c:strCache>
                <c:ptCount val="4"/>
                <c:pt idx="0">
                  <c:v>DCF sensitivity</c:v>
                </c:pt>
                <c:pt idx="1">
                  <c:v>Trading comparables P/E</c:v>
                </c:pt>
                <c:pt idx="2">
                  <c:v>Precedent transactions</c:v>
                </c:pt>
                <c:pt idx="3">
                  <c:v>52-week trading range</c:v>
                </c:pt>
              </c:strCache>
            </c:strRef>
          </c:cat>
          <c:val>
            <c:numRef>
              <c:f>Dashboard!$AC$61:$AC$64</c:f>
              <c:numCache>
                <c:formatCode>General</c:formatCode>
                <c:ptCount val="4"/>
                <c:pt idx="0">
                  <c:v>0</c:v>
                </c:pt>
                <c:pt idx="1">
                  <c:v>0</c:v>
                </c:pt>
                <c:pt idx="2">
                  <c:v>0</c:v>
                </c:pt>
                <c:pt idx="3">
                  <c:v>41.31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4-F6E8-41CC-A6F2-B366E8DC9BB2}"/>
            </c:ext>
          </c:extLst>
        </c:ser>
        <c:dLbls>
          <c:showLegendKey val="0"/>
          <c:showVal val="0"/>
          <c:showCatName val="0"/>
          <c:showSerName val="0"/>
          <c:showPercent val="0"/>
          <c:showBubbleSize val="0"/>
        </c:dLbls>
        <c:gapWidth val="55"/>
        <c:overlap val="10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37</xdr:row>
      <xdr:rowOff>0</xdr:rowOff>
    </xdr:from>
    <xdr:to>
      <xdr:col>11</xdr:col>
      <xdr:colOff>0</xdr:colOff>
      <xdr:row>55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37</xdr:row>
      <xdr:rowOff>0</xdr:rowOff>
    </xdr:from>
    <xdr:to>
      <xdr:col>22</xdr:col>
      <xdr:colOff>0</xdr:colOff>
      <xdr:row>55</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59</xdr:row>
      <xdr:rowOff>0</xdr:rowOff>
    </xdr:from>
    <xdr:to>
      <xdr:col>22</xdr:col>
      <xdr:colOff>0</xdr:colOff>
      <xdr:row>68</xdr:row>
      <xdr:rowOff>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5</xdr:col>
      <xdr:colOff>1778000</xdr:colOff>
      <xdr:row>31</xdr:row>
      <xdr:rowOff>12700</xdr:rowOff>
    </xdr:to>
    <xdr:sp macro="" textlink="">
      <xdr:nvSpPr>
        <xdr:cNvPr id="1031" name="Text Box 7" hidden="1">
          <a:extLst>
            <a:ext uri="{FF2B5EF4-FFF2-40B4-BE49-F238E27FC236}">
              <a16:creationId xmlns:a16="http://schemas.microsoft.com/office/drawing/2014/main" id="{CC2F1268-35C8-F233-0D03-ECDE68E4BA5F}"/>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635000</xdr:colOff>
      <xdr:row>32</xdr:row>
      <xdr:rowOff>25400</xdr:rowOff>
    </xdr:to>
    <xdr:sp macro="" textlink="">
      <xdr:nvSpPr>
        <xdr:cNvPr id="2061" name="Text Box 13" hidden="1">
          <a:extLst>
            <a:ext uri="{FF2B5EF4-FFF2-40B4-BE49-F238E27FC236}">
              <a16:creationId xmlns:a16="http://schemas.microsoft.com/office/drawing/2014/main" id="{E8B69BD9-A05A-0140-30D8-159BA703A79A}"/>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Daniel Sibanda" id="{58D5B628-999F-4255-81B1-57F55E6DA166}"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22T10:53:11.25" personId="{58D5B628-999F-4255-81B1-57F55E6DA166}" id="{BACCC122-D096-C1D4-9657-F2665EA8F196}">
    <text>Interactive scenario dropdown. The selected case flows to Inputs, Model and all Dashboard outputs without macros.</text>
  </threadedComment>
  <threadedComment ref="G10" dT="2026-08-22T10:53:11.25" personId="{58D5B628-999F-4255-81B1-57F55E6DA166}" id="{8206A64F-41AF-5FAF-A1F7-6E640C18D94C}">
    <text>Circularity / interest-convention dropdown. OFF uses opening balances. ON uses average debt and short-term-investment balances while retaining opening cash to avoid an unstable iterative circular reference.</text>
  </threadedComment>
  <threadedComment ref="D30" dT="2026-08-22T10:53:11.25" personId="{58D5B628-999F-4255-81B1-57F55E6DA166}" id="{C00A2419-AD29-0758-3470-F0DC52EEA642}">
    <text>Independent revenue-growth overlay. Down/Base/Up applies -2.0%/0.0%/+2.0% to every forecast year on top of the master scenario.</text>
  </threadedComment>
  <threadedComment ref="D31" dT="2026-08-22T10:53:11.25" personId="{58D5B628-999F-4255-81B1-57F55E6DA166}" id="{2C12C13E-08B9-D5AF-6078-5232D2D1BBCC}">
    <text>Independent pricing/gross-margin overlay. Down/Base/Up applies -1.0%/0.0%/+1.0% to every forecast year.</text>
  </threadedComment>
  <threadedComment ref="D32" dT="2026-08-22T10:53:11.25" personId="{58D5B628-999F-4255-81B1-57F55E6DA166}" id="{FB216920-BFD6-AF13-CFD9-62D06EF7ACEC}">
    <text>Independent capex-intensity overlay. Down/Base/Up applies -0.5%/0.0%/+0.5% of revenue.</text>
  </threadedComment>
  <threadedComment ref="D33" dT="2026-08-22T10:53:11.25" personId="{58D5B628-999F-4255-81B1-57F55E6DA166}" id="{069056EB-8F36-A6A3-7022-8CDCFF8B9AF2}">
    <text>Independent working-capital overlay. Down adds 3 days to DSO/inventory and subtracts 2 days from DPO; Up reverses those changes.</text>
  </threadedComment>
</ThreadedComments>
</file>

<file path=xl/threadedComments/threadedComment2.xml><?xml version="1.0" encoding="utf-8"?>
<ThreadedComments xmlns="http://schemas.microsoft.com/office/spreadsheetml/2018/threadedcomments" xmlns:x="http://schemas.openxmlformats.org/spreadsheetml/2006/main">
  <threadedComment ref="E18" dT="2026-08-22T10:53:11.29" personId="{58D5B628-999F-4255-81B1-57F55E6DA166}" id="{7E8255C2-A984-509D-35FC-5633FF279A8A}">
    <text>FY2022 revenue growth is calculated from FY2022 revenue of $46,710mm and the reported FY2021 comparator of $44,538mm. Later historical growth cells calculate directly from the audited actuals table.</text>
  </threadedComment>
  <threadedComment ref="D140" dT="2026-08-22T10:53:11.29" personId="{58D5B628-999F-4255-81B1-57F55E6DA166}" id="{4C0A1CBE-CE5C-2577-D95B-F4CDEC3A9B05}">
    <text>Source M1: U.S. Treasury daily par yield curve. 10-year yield was 4.74% on 2026-08-21.</text>
  </threadedComment>
  <threadedComment ref="D141" dT="2026-08-22T10:53:11.29" personId="{58D5B628-999F-4255-81B1-57F55E6DA166}" id="{5697D332-F3E0-7F78-5B84-07B77643B879}">
    <text>Source M2: Aswath Damodaran / NYU Stern implied U.S. equity risk premium, 4.28% as of 2026-08-01.</text>
  </threadedComment>
  <threadedComment ref="D143" dT="2026-08-22T10:53:11.29" personId="{58D5B628-999F-4255-81B1-57F55E6DA166}" id="{2788E144-D7B1-2FF1-30E5-69200CEFDCD2}">
    <text>Assumption: marginal debt cost equals the 4.74% risk-free rate plus a 0.60% credit spread. Sensitivity-test this spread.</text>
  </threadedComment>
  <threadedComment ref="D146" dT="2026-08-22T10:53:11.29" personId="{58D5B628-999F-4255-81B1-57F55E6DA166}" id="{320850AC-870C-1992-EB08-F8298D466329}">
    <text>Analyst assumption: long-run nominal growth used in the Gordon Growth terminal value.</text>
  </threadedComment>
  <threadedComment ref="M146" dT="2026-08-22T10:53:11.29" personId="{58D5B628-999F-4255-81B1-57F55E6DA166}" id="{9BE53CFE-552C-2BBB-AE0B-A9774ACFD12D}">
    <text>Precedent transactions are a reference cross-check only. Default weight is 0% because the targets are smaller and prices include control premiums.</text>
  </threadedComment>
  <threadedComment ref="D147" dT="2026-08-22T10:53:11.29" personId="{58D5B628-999F-4255-81B1-57F55E6DA166}" id="{F78C1802-ECA3-EFC7-DC08-4AE08D96615B}">
    <text>Analyst assumption: hurdle rate applied to Project Next Run NPV and XIRR comparison.</text>
  </threadedComment>
  <threadedComment ref="D152" dT="2026-08-22T10:53:11.29" personId="{58D5B628-999F-4255-81B1-57F55E6DA166}" id="{72759916-6EFB-4EEF-2533-D79B103F2519}">
    <text>Market snapshot as of 2026-08-21. Update before using the valuation for a later date.</text>
  </threadedComment>
  <threadedComment ref="M152" dT="2026-08-22T10:53:11.29" personId="{58D5B628-999F-4255-81B1-57F55E6DA166}" id="{D2B4B526-7115-8E17-87E4-A84203AE209D}">
    <text>Analyst assumption, not reported actual: tax depreciation is modeled at 1.10x book D&amp;A to show temporary timing differences. NIKE does not separately disclose tax depreciation in the annual report.</text>
  </threadedComment>
  <threadedComment ref="M154" dT="2026-08-22T10:53:11.29" personId="{58D5B628-999F-4255-81B1-57F55E6DA166}" id="{232D0174-04BC-F3FD-62CC-ACE537DFCEDE}">
    <text>Source S7: 315.388mm Class A plus 1,202.111mm Class B shares outstanding as of 2026-07-08. This is distinct from FY2026 diluted weighted-average shares used for historical EPS.</text>
  </threadedComment>
  <threadedComment ref="H223" dT="2026-08-22T10:53:11.29" personId="{58D5B628-999F-4255-81B1-57F55E6DA166}" id="{C3E2E7E9-07FB-F394-2581-E2CDC474C835}">
    <text>adidas remains visible as a core global sportswear trading comparable. FY2025 operating data is sourced from the official adidas Annual Report 2025; the valuation multiple uses the dated market snapshot in the peer table.</text>
  </threadedComment>
  <threadedComment ref="H224" dT="2026-08-22T10:53:11.29" personId="{58D5B628-999F-4255-81B1-57F55E6DA166}" id="{092F50F6-4F58-B68A-74BA-A9BCAF33864D}">
    <text>PUMA remains visible as a core global sportswear trading comparable. P/E is N/M because PUMA reported a FY2025 attributable net loss; it is not silently excluded from the peer list.</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400"/>
  <sheetViews>
    <sheetView showGridLines="0" topLeftCell="A63" zoomScale="85" zoomScaleNormal="85" workbookViewId="0"/>
  </sheetViews>
  <sheetFormatPr defaultRowHeight="14"/>
  <cols>
    <col min="1" max="1" width="3" customWidth="1"/>
    <col min="2" max="2" width="4" customWidth="1"/>
    <col min="3" max="3" width="22" customWidth="1"/>
    <col min="4" max="4" width="32" customWidth="1"/>
    <col min="5" max="5" width="18" customWidth="1"/>
    <col min="6" max="6" width="22" customWidth="1"/>
    <col min="7" max="14" width="12" customWidth="1"/>
  </cols>
  <sheetData>
    <row r="1" spans="2:14">
      <c r="B1" s="1"/>
      <c r="C1" s="1"/>
      <c r="D1" s="1"/>
      <c r="E1" s="1"/>
      <c r="F1" s="1"/>
      <c r="G1" s="1"/>
      <c r="H1" s="1"/>
      <c r="I1" s="1"/>
      <c r="J1" s="1"/>
      <c r="K1" s="1"/>
      <c r="L1" s="1"/>
      <c r="M1" s="1"/>
      <c r="N1" s="1"/>
    </row>
    <row r="2" spans="2:14" ht="32" customHeight="1">
      <c r="B2" s="174" t="s">
        <v>0</v>
      </c>
      <c r="C2" s="174"/>
      <c r="D2" s="174"/>
      <c r="E2" s="174"/>
      <c r="F2" s="174"/>
      <c r="G2" s="174"/>
      <c r="H2" s="174"/>
      <c r="I2" s="174"/>
      <c r="J2" s="174"/>
      <c r="K2" s="174"/>
      <c r="L2" s="174"/>
      <c r="M2" s="174"/>
      <c r="N2" s="174"/>
    </row>
    <row r="3" spans="2:14" ht="22" customHeight="1">
      <c r="B3" s="175" t="s">
        <v>1</v>
      </c>
      <c r="C3" s="175"/>
      <c r="D3" s="175"/>
      <c r="E3" s="175"/>
      <c r="F3" s="175"/>
      <c r="G3" s="175"/>
      <c r="H3" s="175"/>
      <c r="I3" s="175"/>
      <c r="J3" s="175"/>
      <c r="K3" s="175"/>
      <c r="L3" s="175"/>
      <c r="M3" s="175"/>
      <c r="N3" s="175"/>
    </row>
    <row r="4" spans="2:14">
      <c r="B4" s="1"/>
      <c r="C4" s="1"/>
      <c r="D4" s="1"/>
      <c r="E4" s="1"/>
      <c r="F4" s="1"/>
      <c r="G4" s="1"/>
      <c r="H4" s="1"/>
      <c r="I4" s="1"/>
      <c r="J4" s="1"/>
      <c r="K4" s="1"/>
      <c r="L4" s="1"/>
      <c r="M4" s="1"/>
      <c r="N4" s="1"/>
    </row>
    <row r="5" spans="2:14" ht="26" customHeight="1">
      <c r="B5" s="176" t="s">
        <v>2</v>
      </c>
      <c r="C5" s="176"/>
      <c r="D5" s="176"/>
      <c r="E5" s="176"/>
      <c r="F5" s="176"/>
      <c r="G5" s="176"/>
      <c r="H5" s="176"/>
      <c r="I5" s="176"/>
      <c r="J5" s="176"/>
      <c r="K5" s="176"/>
      <c r="L5" s="176"/>
      <c r="M5" s="176"/>
      <c r="N5" s="176"/>
    </row>
    <row r="6" spans="2:14">
      <c r="B6" s="1"/>
      <c r="C6" s="1"/>
      <c r="D6" s="1"/>
      <c r="E6" s="1"/>
      <c r="F6" s="1"/>
      <c r="G6" s="1"/>
      <c r="H6" s="1"/>
      <c r="I6" s="1"/>
      <c r="J6" s="1"/>
      <c r="K6" s="1"/>
      <c r="L6" s="1"/>
      <c r="M6" s="1"/>
      <c r="N6" s="1"/>
    </row>
    <row r="7" spans="2:14" ht="21" customHeight="1">
      <c r="B7" s="177" t="s">
        <v>3</v>
      </c>
      <c r="C7" s="177"/>
      <c r="D7" s="177"/>
      <c r="E7" s="177"/>
      <c r="F7" s="177"/>
      <c r="G7" s="177"/>
      <c r="H7" s="177"/>
      <c r="I7" s="177"/>
      <c r="J7" s="177"/>
      <c r="K7" s="177"/>
      <c r="L7" s="177"/>
      <c r="M7" s="177"/>
      <c r="N7" s="177"/>
    </row>
    <row r="8" spans="2:14">
      <c r="B8" s="1"/>
      <c r="C8" s="1"/>
      <c r="D8" s="1"/>
      <c r="E8" s="1"/>
      <c r="F8" s="1"/>
      <c r="G8" s="1"/>
      <c r="H8" s="1"/>
      <c r="I8" s="1"/>
      <c r="J8" s="1"/>
      <c r="K8" s="1"/>
      <c r="L8" s="1"/>
      <c r="M8" s="1"/>
      <c r="N8" s="1"/>
    </row>
    <row r="9" spans="2:14">
      <c r="B9" s="1"/>
      <c r="C9" s="2" t="s">
        <v>4</v>
      </c>
      <c r="D9" s="3" t="s">
        <v>5</v>
      </c>
      <c r="E9" s="1"/>
      <c r="F9" s="1"/>
      <c r="G9" s="1"/>
      <c r="H9" s="1"/>
      <c r="I9" s="1"/>
      <c r="J9" s="1"/>
      <c r="K9" s="1"/>
      <c r="L9" s="1"/>
      <c r="M9" s="1"/>
      <c r="N9" s="1"/>
    </row>
    <row r="10" spans="2:14">
      <c r="B10" s="1"/>
      <c r="C10" s="2" t="s">
        <v>6</v>
      </c>
      <c r="D10" s="3" t="s">
        <v>7</v>
      </c>
      <c r="E10" s="1"/>
      <c r="F10" s="1"/>
      <c r="G10" s="1"/>
      <c r="H10" s="1"/>
      <c r="I10" s="1"/>
      <c r="J10" s="1"/>
      <c r="K10" s="1"/>
      <c r="L10" s="1"/>
      <c r="M10" s="1"/>
      <c r="N10" s="1"/>
    </row>
    <row r="11" spans="2:14">
      <c r="B11" s="1"/>
      <c r="C11" s="2" t="s">
        <v>8</v>
      </c>
      <c r="D11" s="3" t="s">
        <v>9</v>
      </c>
      <c r="E11" s="1"/>
      <c r="F11" s="1"/>
      <c r="G11" s="1"/>
      <c r="H11" s="1"/>
      <c r="I11" s="1"/>
      <c r="J11" s="1"/>
      <c r="K11" s="1"/>
      <c r="L11" s="1"/>
      <c r="M11" s="1"/>
      <c r="N11" s="1"/>
    </row>
    <row r="12" spans="2:14">
      <c r="B12" s="1"/>
      <c r="C12" s="2" t="s">
        <v>10</v>
      </c>
      <c r="D12" s="3" t="s">
        <v>11</v>
      </c>
      <c r="E12" s="1"/>
      <c r="F12" s="1"/>
      <c r="G12" s="1"/>
      <c r="H12" s="1"/>
      <c r="I12" s="1"/>
      <c r="J12" s="1"/>
      <c r="K12" s="1"/>
      <c r="L12" s="1"/>
      <c r="M12" s="1"/>
      <c r="N12" s="1"/>
    </row>
    <row r="13" spans="2:14">
      <c r="B13" s="1"/>
      <c r="C13" s="2" t="s">
        <v>12</v>
      </c>
      <c r="D13" s="3" t="s">
        <v>13</v>
      </c>
      <c r="E13" s="1"/>
      <c r="F13" s="1"/>
      <c r="G13" s="1"/>
      <c r="H13" s="1"/>
      <c r="I13" s="1"/>
      <c r="J13" s="1"/>
      <c r="K13" s="1"/>
      <c r="L13" s="1"/>
      <c r="M13" s="1"/>
      <c r="N13" s="1"/>
    </row>
    <row r="14" spans="2:14">
      <c r="B14" s="1"/>
      <c r="C14" s="2" t="s">
        <v>14</v>
      </c>
      <c r="D14" s="3" t="s">
        <v>15</v>
      </c>
      <c r="E14" s="1"/>
      <c r="F14" s="1"/>
      <c r="G14" s="1"/>
      <c r="H14" s="1"/>
      <c r="I14" s="1"/>
      <c r="J14" s="1"/>
      <c r="K14" s="1"/>
      <c r="L14" s="1"/>
      <c r="M14" s="1"/>
      <c r="N14" s="1"/>
    </row>
    <row r="15" spans="2:14">
      <c r="B15" s="1"/>
      <c r="C15" s="1"/>
      <c r="D15" s="1"/>
      <c r="E15" s="1"/>
      <c r="F15" s="1"/>
      <c r="G15" s="1"/>
      <c r="H15" s="1"/>
      <c r="I15" s="1"/>
      <c r="J15" s="1"/>
      <c r="K15" s="1"/>
      <c r="L15" s="1"/>
      <c r="M15" s="1"/>
      <c r="N15" s="1"/>
    </row>
    <row r="16" spans="2:14" ht="21" customHeight="1">
      <c r="B16" s="177" t="s">
        <v>16</v>
      </c>
      <c r="C16" s="177"/>
      <c r="D16" s="177"/>
      <c r="E16" s="177"/>
      <c r="F16" s="177"/>
      <c r="G16" s="177"/>
      <c r="H16" s="177"/>
      <c r="I16" s="177"/>
      <c r="J16" s="177"/>
      <c r="K16" s="177"/>
      <c r="L16" s="177"/>
      <c r="M16" s="177"/>
      <c r="N16" s="177"/>
    </row>
    <row r="17" spans="2:14">
      <c r="B17" s="1"/>
      <c r="C17" s="1"/>
      <c r="D17" s="1"/>
      <c r="E17" s="1"/>
      <c r="F17" s="1"/>
      <c r="G17" s="1"/>
      <c r="H17" s="1"/>
      <c r="I17" s="1"/>
      <c r="J17" s="1"/>
      <c r="K17" s="1"/>
      <c r="L17" s="1"/>
      <c r="M17" s="1"/>
      <c r="N17" s="1"/>
    </row>
    <row r="18" spans="2:14">
      <c r="B18" s="1"/>
      <c r="C18" s="4" t="s">
        <v>17</v>
      </c>
      <c r="D18" s="4" t="s">
        <v>18</v>
      </c>
      <c r="E18" s="4" t="s">
        <v>19</v>
      </c>
      <c r="F18" s="4" t="s">
        <v>20</v>
      </c>
      <c r="G18" s="1"/>
      <c r="H18" s="1"/>
      <c r="I18" s="1"/>
      <c r="J18" s="1"/>
      <c r="K18" s="1"/>
      <c r="L18" s="1"/>
      <c r="M18" s="1"/>
      <c r="N18" s="1"/>
    </row>
    <row r="19" spans="2:14">
      <c r="B19" s="1"/>
      <c r="C19" s="1" t="s">
        <v>21</v>
      </c>
      <c r="D19" s="1" t="s">
        <v>22</v>
      </c>
      <c r="E19" s="1" t="s">
        <v>23</v>
      </c>
      <c r="F19" s="5" t="str">
        <f>HYPERLINK("#'Cover'!B2","Go to Cover")</f>
        <v>Go to Cover</v>
      </c>
      <c r="G19" s="1"/>
      <c r="H19" s="1"/>
      <c r="I19" s="1"/>
      <c r="J19" s="1"/>
      <c r="K19" s="1"/>
      <c r="L19" s="1"/>
      <c r="M19" s="1"/>
      <c r="N19" s="1"/>
    </row>
    <row r="20" spans="2:14">
      <c r="B20" s="1"/>
      <c r="C20" s="1" t="s">
        <v>24</v>
      </c>
      <c r="D20" s="1" t="s">
        <v>25</v>
      </c>
      <c r="E20" s="1" t="s">
        <v>26</v>
      </c>
      <c r="F20" s="5" t="str">
        <f>HYPERLINK("#'Dashboard'!B2","Go to Dashboard")</f>
        <v>Go to Dashboard</v>
      </c>
      <c r="G20" s="1"/>
      <c r="H20" s="1"/>
      <c r="I20" s="1"/>
      <c r="J20" s="1"/>
      <c r="K20" s="1"/>
      <c r="L20" s="1"/>
      <c r="M20" s="1"/>
      <c r="N20" s="1"/>
    </row>
    <row r="21" spans="2:14">
      <c r="B21" s="1"/>
      <c r="C21" s="1" t="s">
        <v>27</v>
      </c>
      <c r="D21" s="1" t="s">
        <v>28</v>
      </c>
      <c r="E21" s="1" t="s">
        <v>29</v>
      </c>
      <c r="F21" s="5" t="str">
        <f>HYPERLINK("#'Inputs'!B2","Go to Inputs")</f>
        <v>Go to Inputs</v>
      </c>
      <c r="G21" s="1"/>
      <c r="H21" s="1"/>
      <c r="I21" s="1"/>
      <c r="J21" s="1"/>
      <c r="K21" s="1"/>
      <c r="L21" s="1"/>
      <c r="M21" s="1"/>
      <c r="N21" s="1"/>
    </row>
    <row r="22" spans="2:14">
      <c r="B22" s="1"/>
      <c r="C22" s="1" t="s">
        <v>30</v>
      </c>
      <c r="D22" s="1" t="s">
        <v>31</v>
      </c>
      <c r="E22" s="1" t="s">
        <v>32</v>
      </c>
      <c r="F22" s="5" t="str">
        <f>HYPERLINK("#'Model'!B2","Go to Model")</f>
        <v>Go to Model</v>
      </c>
      <c r="G22" s="1"/>
      <c r="H22" s="1"/>
      <c r="I22" s="1"/>
      <c r="J22" s="1"/>
      <c r="K22" s="1"/>
      <c r="L22" s="1"/>
      <c r="M22" s="1"/>
      <c r="N22" s="1"/>
    </row>
    <row r="23" spans="2:14">
      <c r="B23" s="1"/>
      <c r="C23" s="1"/>
      <c r="D23" s="1"/>
      <c r="E23" s="1"/>
      <c r="F23" s="1"/>
      <c r="G23" s="1"/>
      <c r="H23" s="1"/>
      <c r="I23" s="1"/>
      <c r="J23" s="1"/>
      <c r="K23" s="1"/>
      <c r="L23" s="1"/>
      <c r="M23" s="1"/>
      <c r="N23" s="1"/>
    </row>
    <row r="24" spans="2:14" ht="21" customHeight="1">
      <c r="B24" s="177" t="s">
        <v>33</v>
      </c>
      <c r="C24" s="177"/>
      <c r="D24" s="177"/>
      <c r="E24" s="177"/>
      <c r="F24" s="177"/>
      <c r="G24" s="177"/>
      <c r="H24" s="177"/>
      <c r="I24" s="177"/>
      <c r="J24" s="177"/>
      <c r="K24" s="177"/>
      <c r="L24" s="177"/>
      <c r="M24" s="177"/>
      <c r="N24" s="177"/>
    </row>
    <row r="25" spans="2:14">
      <c r="B25" s="1"/>
      <c r="C25" s="1"/>
      <c r="D25" s="1"/>
      <c r="E25" s="1"/>
      <c r="F25" s="1"/>
      <c r="G25" s="1"/>
      <c r="H25" s="1"/>
      <c r="I25" s="1"/>
      <c r="J25" s="1"/>
      <c r="K25" s="1"/>
      <c r="L25" s="1"/>
      <c r="M25" s="1"/>
      <c r="N25" s="1"/>
    </row>
    <row r="26" spans="2:14" ht="24" customHeight="1">
      <c r="B26" s="1"/>
      <c r="C26" s="12" t="s">
        <v>34</v>
      </c>
      <c r="D26" s="13" t="s">
        <v>35</v>
      </c>
      <c r="E26" s="178" t="s">
        <v>36</v>
      </c>
      <c r="F26" s="178"/>
      <c r="G26" s="178"/>
      <c r="H26" s="178"/>
      <c r="I26" s="178"/>
      <c r="J26" s="178"/>
      <c r="K26" s="178"/>
      <c r="L26" s="178"/>
      <c r="M26" s="178"/>
      <c r="N26" s="179"/>
    </row>
    <row r="27" spans="2:14" ht="24" customHeight="1">
      <c r="B27" s="1"/>
      <c r="C27" s="16" t="s">
        <v>37</v>
      </c>
      <c r="D27" s="17" t="s">
        <v>38</v>
      </c>
      <c r="E27" s="180" t="s">
        <v>39</v>
      </c>
      <c r="F27" s="180"/>
      <c r="G27" s="180"/>
      <c r="H27" s="180"/>
      <c r="I27" s="180"/>
      <c r="J27" s="180"/>
      <c r="K27" s="180"/>
      <c r="L27" s="180"/>
      <c r="M27" s="180"/>
      <c r="N27" s="181"/>
    </row>
    <row r="28" spans="2:14" ht="24" customHeight="1">
      <c r="B28" s="1"/>
      <c r="C28" s="16" t="s">
        <v>40</v>
      </c>
      <c r="D28" s="17" t="s">
        <v>41</v>
      </c>
      <c r="E28" s="180" t="s">
        <v>42</v>
      </c>
      <c r="F28" s="180"/>
      <c r="G28" s="180"/>
      <c r="H28" s="180"/>
      <c r="I28" s="180"/>
      <c r="J28" s="180"/>
      <c r="K28" s="180"/>
      <c r="L28" s="180"/>
      <c r="M28" s="180"/>
      <c r="N28" s="181"/>
    </row>
    <row r="29" spans="2:14" ht="24" customHeight="1">
      <c r="B29" s="1"/>
      <c r="C29" s="16" t="s">
        <v>43</v>
      </c>
      <c r="D29" s="17" t="s">
        <v>44</v>
      </c>
      <c r="E29" s="180" t="s">
        <v>45</v>
      </c>
      <c r="F29" s="180"/>
      <c r="G29" s="180"/>
      <c r="H29" s="180"/>
      <c r="I29" s="180"/>
      <c r="J29" s="180"/>
      <c r="K29" s="180"/>
      <c r="L29" s="180"/>
      <c r="M29" s="180"/>
      <c r="N29" s="181"/>
    </row>
    <row r="30" spans="2:14" ht="24" customHeight="1">
      <c r="B30" s="1"/>
      <c r="C30" s="16" t="s">
        <v>46</v>
      </c>
      <c r="D30" s="17" t="s">
        <v>47</v>
      </c>
      <c r="E30" s="180" t="s">
        <v>48</v>
      </c>
      <c r="F30" s="180"/>
      <c r="G30" s="180"/>
      <c r="H30" s="180"/>
      <c r="I30" s="180"/>
      <c r="J30" s="180"/>
      <c r="K30" s="180"/>
      <c r="L30" s="180"/>
      <c r="M30" s="180"/>
      <c r="N30" s="181"/>
    </row>
    <row r="31" spans="2:14" ht="24" customHeight="1">
      <c r="B31" s="1"/>
      <c r="C31" s="16" t="s">
        <v>49</v>
      </c>
      <c r="D31" s="17" t="s">
        <v>50</v>
      </c>
      <c r="E31" s="180" t="s">
        <v>51</v>
      </c>
      <c r="F31" s="180"/>
      <c r="G31" s="180"/>
      <c r="H31" s="180"/>
      <c r="I31" s="180"/>
      <c r="J31" s="180"/>
      <c r="K31" s="180"/>
      <c r="L31" s="180"/>
      <c r="M31" s="180"/>
      <c r="N31" s="181"/>
    </row>
    <row r="32" spans="2:14" ht="24" customHeight="1">
      <c r="B32" s="1"/>
      <c r="C32" s="16" t="s">
        <v>52</v>
      </c>
      <c r="D32" s="17" t="s">
        <v>53</v>
      </c>
      <c r="E32" s="180" t="s">
        <v>54</v>
      </c>
      <c r="F32" s="180"/>
      <c r="G32" s="180"/>
      <c r="H32" s="180"/>
      <c r="I32" s="180"/>
      <c r="J32" s="180"/>
      <c r="K32" s="180"/>
      <c r="L32" s="180"/>
      <c r="M32" s="180"/>
      <c r="N32" s="181"/>
    </row>
    <row r="33" spans="2:14" ht="24" customHeight="1">
      <c r="B33" s="1"/>
      <c r="C33" s="20" t="s">
        <v>55</v>
      </c>
      <c r="D33" s="21" t="s">
        <v>20</v>
      </c>
      <c r="E33" s="182" t="s">
        <v>56</v>
      </c>
      <c r="F33" s="182"/>
      <c r="G33" s="182"/>
      <c r="H33" s="182"/>
      <c r="I33" s="182"/>
      <c r="J33" s="182"/>
      <c r="K33" s="182"/>
      <c r="L33" s="182"/>
      <c r="M33" s="182"/>
      <c r="N33" s="183"/>
    </row>
    <row r="34" spans="2:14">
      <c r="B34" s="1"/>
      <c r="C34" s="1"/>
      <c r="D34" s="1"/>
      <c r="E34" s="1"/>
      <c r="F34" s="1"/>
      <c r="G34" s="1"/>
      <c r="H34" s="1"/>
      <c r="I34" s="1"/>
      <c r="J34" s="1"/>
      <c r="K34" s="1"/>
      <c r="L34" s="1"/>
      <c r="M34" s="1"/>
      <c r="N34" s="1"/>
    </row>
    <row r="35" spans="2:14" ht="21" customHeight="1">
      <c r="B35" s="177" t="s">
        <v>57</v>
      </c>
      <c r="C35" s="177"/>
      <c r="D35" s="177"/>
      <c r="E35" s="177"/>
      <c r="F35" s="177"/>
      <c r="G35" s="177"/>
      <c r="H35" s="177"/>
      <c r="I35" s="177"/>
      <c r="J35" s="177"/>
      <c r="K35" s="177"/>
      <c r="L35" s="177"/>
      <c r="M35" s="177"/>
      <c r="N35" s="177"/>
    </row>
    <row r="36" spans="2:14">
      <c r="B36" s="1"/>
      <c r="C36" s="1"/>
      <c r="D36" s="1"/>
      <c r="E36" s="1"/>
      <c r="F36" s="1"/>
      <c r="G36" s="1"/>
      <c r="H36" s="1"/>
      <c r="I36" s="1"/>
      <c r="J36" s="1"/>
      <c r="K36" s="1"/>
      <c r="L36" s="1"/>
      <c r="M36" s="1"/>
      <c r="N36" s="1"/>
    </row>
    <row r="37" spans="2:14">
      <c r="B37" s="1"/>
      <c r="C37" s="4" t="s">
        <v>58</v>
      </c>
      <c r="D37" s="4" t="s">
        <v>59</v>
      </c>
      <c r="E37" s="4" t="s">
        <v>60</v>
      </c>
      <c r="F37" s="4" t="s">
        <v>61</v>
      </c>
      <c r="G37" s="1"/>
      <c r="H37" s="1"/>
      <c r="I37" s="1"/>
      <c r="J37" s="1"/>
      <c r="K37" s="1"/>
      <c r="L37" s="1"/>
      <c r="M37" s="1"/>
      <c r="N37" s="1"/>
    </row>
    <row r="38" spans="2:14">
      <c r="B38" s="1"/>
      <c r="C38" s="1" t="s">
        <v>62</v>
      </c>
      <c r="D38" s="24">
        <f>Model!N104</f>
        <v>0</v>
      </c>
      <c r="E38" s="171">
        <v>0.1</v>
      </c>
      <c r="F38" s="1" t="str">
        <f t="shared" ref="F38:F43" si="0">IF(ABS(D38)&lt;=E38,"OK","CHECK")</f>
        <v>OK</v>
      </c>
      <c r="G38" s="1"/>
      <c r="H38" s="1"/>
      <c r="I38" s="1"/>
      <c r="J38" s="1"/>
      <c r="K38" s="1"/>
      <c r="L38" s="1"/>
      <c r="M38" s="1"/>
      <c r="N38" s="1"/>
    </row>
    <row r="39" spans="2:14">
      <c r="B39" s="1"/>
      <c r="C39" s="1" t="s">
        <v>63</v>
      </c>
      <c r="D39" s="24">
        <f>Model!N136</f>
        <v>0</v>
      </c>
      <c r="E39" s="171">
        <v>0.1</v>
      </c>
      <c r="F39" s="1" t="str">
        <f t="shared" si="0"/>
        <v>OK</v>
      </c>
      <c r="G39" s="1"/>
      <c r="H39" s="1"/>
      <c r="I39" s="1"/>
      <c r="J39" s="1"/>
      <c r="K39" s="1"/>
      <c r="L39" s="1"/>
      <c r="M39" s="1"/>
      <c r="N39" s="1"/>
    </row>
    <row r="40" spans="2:14">
      <c r="B40" s="1"/>
      <c r="C40" s="1" t="s">
        <v>64</v>
      </c>
      <c r="D40" s="24">
        <f>Model!N168</f>
        <v>0</v>
      </c>
      <c r="E40" s="171">
        <v>0.1</v>
      </c>
      <c r="F40" s="1" t="str">
        <f t="shared" si="0"/>
        <v>OK</v>
      </c>
      <c r="G40" s="1"/>
      <c r="H40" s="1"/>
      <c r="I40" s="1"/>
      <c r="J40" s="1"/>
      <c r="K40" s="1"/>
      <c r="L40" s="1"/>
      <c r="M40" s="1"/>
      <c r="N40" s="1"/>
    </row>
    <row r="41" spans="2:14">
      <c r="B41" s="1"/>
      <c r="C41" s="1" t="s">
        <v>65</v>
      </c>
      <c r="D41" s="24">
        <f>Model!N169</f>
        <v>0</v>
      </c>
      <c r="E41" s="171">
        <v>0.1</v>
      </c>
      <c r="F41" s="1" t="str">
        <f t="shared" si="0"/>
        <v>OK</v>
      </c>
      <c r="G41" s="1"/>
      <c r="H41" s="1"/>
      <c r="I41" s="1"/>
      <c r="J41" s="1"/>
      <c r="K41" s="1"/>
      <c r="L41" s="1"/>
      <c r="M41" s="1"/>
      <c r="N41" s="1"/>
    </row>
    <row r="42" spans="2:14">
      <c r="B42" s="1"/>
      <c r="C42" s="1" t="s">
        <v>66</v>
      </c>
      <c r="D42" s="24">
        <f>Model!N170</f>
        <v>0</v>
      </c>
      <c r="E42" s="171">
        <v>0.1</v>
      </c>
      <c r="F42" s="1" t="str">
        <f t="shared" si="0"/>
        <v>OK</v>
      </c>
      <c r="G42" s="1"/>
      <c r="H42" s="1"/>
      <c r="I42" s="1"/>
      <c r="J42" s="1"/>
      <c r="K42" s="1"/>
      <c r="L42" s="1"/>
      <c r="M42" s="1"/>
      <c r="N42" s="1"/>
    </row>
    <row r="43" spans="2:14">
      <c r="B43" s="1"/>
      <c r="C43" s="1" t="s">
        <v>67</v>
      </c>
      <c r="D43" s="24">
        <f>Model!N171</f>
        <v>0</v>
      </c>
      <c r="E43" s="171">
        <v>0.1</v>
      </c>
      <c r="F43" s="1" t="str">
        <f t="shared" si="0"/>
        <v>OK</v>
      </c>
      <c r="G43" s="1"/>
      <c r="H43" s="1"/>
      <c r="I43" s="1"/>
      <c r="J43" s="1"/>
      <c r="K43" s="1"/>
      <c r="L43" s="1"/>
      <c r="M43" s="1"/>
      <c r="N43" s="1"/>
    </row>
    <row r="44" spans="2:14">
      <c r="B44" s="1"/>
      <c r="C44" s="1" t="s">
        <v>68</v>
      </c>
      <c r="D44" s="24">
        <f>Inputs!D10</f>
        <v>0</v>
      </c>
      <c r="E44" s="171" t="s">
        <v>69</v>
      </c>
      <c r="F44" s="1" t="str">
        <f>IF(OR(D44=0,D44=1),"OK","CHECK")</f>
        <v>OK</v>
      </c>
      <c r="G44" s="1"/>
      <c r="H44" s="1"/>
      <c r="I44" s="1"/>
      <c r="J44" s="1"/>
      <c r="K44" s="1"/>
      <c r="L44" s="1"/>
      <c r="M44" s="1"/>
      <c r="N44" s="1"/>
    </row>
    <row r="45" spans="2:14">
      <c r="B45" s="1"/>
      <c r="C45" s="1" t="s">
        <v>70</v>
      </c>
      <c r="D45" s="24">
        <f>COUNTIF(Inputs!H262:H301,"CHECK")</f>
        <v>0</v>
      </c>
      <c r="E45" s="24">
        <v>0</v>
      </c>
      <c r="F45" s="1" t="str">
        <f>IF(D45=0,"OK","CHECK")</f>
        <v>OK</v>
      </c>
      <c r="G45" s="1"/>
      <c r="H45" s="1"/>
      <c r="I45" s="1"/>
      <c r="J45" s="1"/>
      <c r="K45" s="1"/>
      <c r="L45" s="1"/>
      <c r="M45" s="1"/>
      <c r="N45" s="1"/>
    </row>
    <row r="46" spans="2:14" ht="27" customHeight="1">
      <c r="B46" s="1"/>
      <c r="C46" s="184" t="s">
        <v>71</v>
      </c>
      <c r="D46" s="184"/>
      <c r="E46" s="184" t="str">
        <f>IF(COUNTIF(F38:F45,"CHECK")=0,"MODEL OK","REVIEW CHECKS")</f>
        <v>MODEL OK</v>
      </c>
      <c r="F46" s="184"/>
      <c r="G46" s="1"/>
      <c r="H46" s="1"/>
      <c r="I46" s="1"/>
      <c r="J46" s="1"/>
      <c r="K46" s="1"/>
      <c r="L46" s="1"/>
      <c r="M46" s="1"/>
      <c r="N46" s="1"/>
    </row>
    <row r="47" spans="2:14">
      <c r="B47" s="1"/>
      <c r="C47" s="1"/>
      <c r="D47" s="1"/>
      <c r="E47" s="1"/>
      <c r="F47" s="1"/>
      <c r="G47" s="1"/>
      <c r="H47" s="1"/>
      <c r="I47" s="1"/>
      <c r="J47" s="1"/>
      <c r="K47" s="1"/>
      <c r="L47" s="1"/>
      <c r="M47" s="1"/>
      <c r="N47" s="1"/>
    </row>
    <row r="48" spans="2:14">
      <c r="B48" s="1"/>
      <c r="C48" s="1"/>
      <c r="D48" s="1"/>
      <c r="E48" s="1"/>
      <c r="F48" s="1"/>
      <c r="G48" s="1"/>
      <c r="H48" s="1"/>
      <c r="I48" s="1"/>
      <c r="J48" s="1"/>
      <c r="K48" s="1"/>
      <c r="L48" s="1"/>
      <c r="M48" s="1"/>
      <c r="N48" s="1"/>
    </row>
    <row r="49" spans="2:14" ht="21" customHeight="1">
      <c r="B49" s="177" t="s">
        <v>72</v>
      </c>
      <c r="C49" s="177"/>
      <c r="D49" s="177"/>
      <c r="E49" s="177"/>
      <c r="F49" s="177"/>
      <c r="G49" s="177"/>
      <c r="H49" s="177"/>
      <c r="I49" s="177"/>
      <c r="J49" s="177"/>
      <c r="K49" s="177"/>
      <c r="L49" s="177"/>
      <c r="M49" s="177"/>
      <c r="N49" s="177"/>
    </row>
    <row r="50" spans="2:14">
      <c r="B50" s="1"/>
      <c r="C50" s="1"/>
      <c r="D50" s="1"/>
      <c r="E50" s="1"/>
      <c r="F50" s="1"/>
      <c r="G50" s="1"/>
      <c r="H50" s="1"/>
      <c r="I50" s="1"/>
      <c r="J50" s="1"/>
      <c r="K50" s="1"/>
      <c r="L50" s="1"/>
      <c r="M50" s="1"/>
      <c r="N50" s="1"/>
    </row>
    <row r="51" spans="2:14">
      <c r="B51" s="1"/>
      <c r="C51" s="185" t="s">
        <v>73</v>
      </c>
      <c r="D51" s="186"/>
      <c r="E51" s="186"/>
      <c r="F51" s="186"/>
      <c r="G51" s="186"/>
      <c r="H51" s="186"/>
      <c r="I51" s="186"/>
      <c r="J51" s="186"/>
      <c r="K51" s="186"/>
      <c r="L51" s="186"/>
      <c r="M51" s="186"/>
      <c r="N51" s="187"/>
    </row>
    <row r="52" spans="2:14">
      <c r="B52" s="1"/>
      <c r="C52" s="188"/>
      <c r="D52" s="189"/>
      <c r="E52" s="189"/>
      <c r="F52" s="189"/>
      <c r="G52" s="189"/>
      <c r="H52" s="189"/>
      <c r="I52" s="189"/>
      <c r="J52" s="189"/>
      <c r="K52" s="189"/>
      <c r="L52" s="189"/>
      <c r="M52" s="189"/>
      <c r="N52" s="190"/>
    </row>
    <row r="53" spans="2:14">
      <c r="B53" s="1"/>
      <c r="C53" s="188"/>
      <c r="D53" s="189"/>
      <c r="E53" s="189"/>
      <c r="F53" s="189"/>
      <c r="G53" s="189"/>
      <c r="H53" s="189"/>
      <c r="I53" s="189"/>
      <c r="J53" s="189"/>
      <c r="K53" s="189"/>
      <c r="L53" s="189"/>
      <c r="M53" s="189"/>
      <c r="N53" s="190"/>
    </row>
    <row r="54" spans="2:14">
      <c r="B54" s="1"/>
      <c r="C54" s="188"/>
      <c r="D54" s="189"/>
      <c r="E54" s="189"/>
      <c r="F54" s="189"/>
      <c r="G54" s="189"/>
      <c r="H54" s="189"/>
      <c r="I54" s="189"/>
      <c r="J54" s="189"/>
      <c r="K54" s="189"/>
      <c r="L54" s="189"/>
      <c r="M54" s="189"/>
      <c r="N54" s="190"/>
    </row>
    <row r="55" spans="2:14">
      <c r="B55" s="1"/>
      <c r="C55" s="191"/>
      <c r="D55" s="192"/>
      <c r="E55" s="192"/>
      <c r="F55" s="192"/>
      <c r="G55" s="192"/>
      <c r="H55" s="192"/>
      <c r="I55" s="192"/>
      <c r="J55" s="192"/>
      <c r="K55" s="192"/>
      <c r="L55" s="192"/>
      <c r="M55" s="192"/>
      <c r="N55" s="193"/>
    </row>
    <row r="56" spans="2:14">
      <c r="B56" s="1"/>
      <c r="C56" s="1"/>
      <c r="D56" s="1"/>
      <c r="E56" s="1"/>
      <c r="F56" s="1"/>
      <c r="G56" s="1"/>
      <c r="H56" s="1"/>
      <c r="I56" s="1"/>
      <c r="J56" s="1"/>
      <c r="K56" s="1"/>
      <c r="L56" s="1"/>
      <c r="M56" s="1"/>
      <c r="N56" s="1"/>
    </row>
    <row r="57" spans="2:14" ht="21" customHeight="1">
      <c r="B57" s="177" t="s">
        <v>74</v>
      </c>
      <c r="C57" s="177"/>
      <c r="D57" s="177"/>
      <c r="E57" s="177"/>
      <c r="F57" s="177"/>
      <c r="G57" s="177"/>
      <c r="H57" s="177"/>
      <c r="I57" s="177"/>
      <c r="J57" s="177"/>
      <c r="K57" s="177"/>
      <c r="L57" s="177"/>
      <c r="M57" s="177"/>
      <c r="N57" s="177"/>
    </row>
    <row r="58" spans="2:14">
      <c r="B58" s="1"/>
      <c r="C58" s="1"/>
      <c r="D58" s="1"/>
      <c r="E58" s="1"/>
      <c r="F58" s="1"/>
      <c r="G58" s="1"/>
      <c r="H58" s="1"/>
      <c r="I58" s="1"/>
      <c r="J58" s="1"/>
      <c r="K58" s="1"/>
      <c r="L58" s="1"/>
      <c r="M58" s="1"/>
      <c r="N58" s="1"/>
    </row>
    <row r="59" spans="2:14">
      <c r="B59" s="1"/>
      <c r="C59" s="4" t="s">
        <v>75</v>
      </c>
      <c r="D59" s="4" t="s">
        <v>76</v>
      </c>
      <c r="E59" s="4" t="s">
        <v>14</v>
      </c>
      <c r="F59" s="4" t="s">
        <v>77</v>
      </c>
      <c r="G59" s="1"/>
      <c r="H59" s="1"/>
      <c r="I59" s="1"/>
      <c r="J59" s="1"/>
      <c r="K59" s="1"/>
      <c r="L59" s="1"/>
      <c r="M59" s="1"/>
      <c r="N59" s="1"/>
    </row>
    <row r="60" spans="2:14" ht="26" customHeight="1">
      <c r="B60" s="1"/>
      <c r="C60" s="28" t="s">
        <v>78</v>
      </c>
      <c r="D60" s="14" t="s">
        <v>13</v>
      </c>
      <c r="E60" s="14" t="s">
        <v>15</v>
      </c>
      <c r="F60" s="15" t="s">
        <v>79</v>
      </c>
      <c r="G60" s="1"/>
      <c r="H60" s="1"/>
      <c r="I60" s="1"/>
      <c r="J60" s="1"/>
      <c r="K60" s="1"/>
      <c r="L60" s="1"/>
      <c r="M60" s="1"/>
      <c r="N60" s="1"/>
    </row>
    <row r="61" spans="2:14" ht="26" customHeight="1">
      <c r="B61" s="1"/>
      <c r="C61" s="29" t="s">
        <v>80</v>
      </c>
      <c r="D61" s="18" t="s">
        <v>81</v>
      </c>
      <c r="E61" s="18" t="s">
        <v>15</v>
      </c>
      <c r="F61" s="19" t="s">
        <v>82</v>
      </c>
      <c r="G61" s="1"/>
      <c r="H61" s="1"/>
      <c r="I61" s="1"/>
      <c r="J61" s="1"/>
      <c r="K61" s="1"/>
      <c r="L61" s="1"/>
      <c r="M61" s="1"/>
      <c r="N61" s="1"/>
    </row>
    <row r="62" spans="2:14" ht="26" customHeight="1">
      <c r="B62" s="1"/>
      <c r="C62" s="29" t="s">
        <v>83</v>
      </c>
      <c r="D62" s="18" t="s">
        <v>81</v>
      </c>
      <c r="E62" s="18" t="s">
        <v>15</v>
      </c>
      <c r="F62" s="19" t="s">
        <v>84</v>
      </c>
      <c r="G62" s="1"/>
      <c r="H62" s="1"/>
      <c r="I62" s="1"/>
      <c r="J62" s="1"/>
      <c r="K62" s="1"/>
      <c r="L62" s="1"/>
      <c r="M62" s="1"/>
      <c r="N62" s="1"/>
    </row>
    <row r="63" spans="2:14" ht="26" customHeight="1">
      <c r="B63" s="1"/>
      <c r="C63" s="30" t="s">
        <v>85</v>
      </c>
      <c r="D63" s="22" t="s">
        <v>81</v>
      </c>
      <c r="E63" s="22" t="s">
        <v>15</v>
      </c>
      <c r="F63" s="23" t="s">
        <v>86</v>
      </c>
      <c r="G63" s="1"/>
      <c r="H63" s="1"/>
      <c r="I63" s="1"/>
      <c r="J63" s="1"/>
      <c r="K63" s="1"/>
      <c r="L63" s="1"/>
      <c r="M63" s="1"/>
      <c r="N63" s="1"/>
    </row>
    <row r="64" spans="2:14">
      <c r="B64" s="1"/>
      <c r="C64" s="1"/>
      <c r="D64" s="1"/>
      <c r="E64" s="1"/>
      <c r="F64" s="1"/>
      <c r="G64" s="1"/>
      <c r="H64" s="1"/>
      <c r="I64" s="1"/>
      <c r="J64" s="1"/>
      <c r="K64" s="1"/>
      <c r="L64" s="1"/>
      <c r="M64" s="1"/>
      <c r="N64" s="1"/>
    </row>
    <row r="65" spans="2:14">
      <c r="B65" s="1"/>
      <c r="C65" s="1"/>
      <c r="D65" s="1"/>
      <c r="E65" s="1"/>
      <c r="F65" s="1"/>
      <c r="G65" s="1"/>
      <c r="H65" s="1"/>
      <c r="I65" s="1"/>
      <c r="J65" s="1"/>
      <c r="K65" s="1"/>
      <c r="L65" s="1"/>
      <c r="M65" s="1"/>
      <c r="N65" s="1"/>
    </row>
    <row r="66" spans="2:14">
      <c r="B66" s="1"/>
      <c r="C66" s="1"/>
      <c r="D66" s="1"/>
      <c r="E66" s="1"/>
      <c r="F66" s="1"/>
      <c r="G66" s="1"/>
      <c r="H66" s="1"/>
      <c r="I66" s="1"/>
      <c r="J66" s="1"/>
      <c r="K66" s="1"/>
      <c r="L66" s="1"/>
      <c r="M66" s="1"/>
      <c r="N66" s="1"/>
    </row>
    <row r="67" spans="2:14">
      <c r="B67" s="1"/>
      <c r="C67" s="1"/>
      <c r="D67" s="1"/>
      <c r="E67" s="1"/>
      <c r="F67" s="1"/>
      <c r="G67" s="1"/>
      <c r="H67" s="1"/>
      <c r="I67" s="1"/>
      <c r="J67" s="1"/>
      <c r="K67" s="1"/>
      <c r="L67" s="1"/>
      <c r="M67" s="1"/>
      <c r="N67" s="1"/>
    </row>
    <row r="68" spans="2:14">
      <c r="B68" s="1"/>
      <c r="C68" s="1"/>
      <c r="D68" s="1"/>
      <c r="E68" s="1"/>
      <c r="F68" s="1"/>
      <c r="G68" s="1"/>
      <c r="H68" s="1"/>
      <c r="I68" s="1"/>
      <c r="J68" s="1"/>
      <c r="K68" s="1"/>
      <c r="L68" s="1"/>
      <c r="M68" s="1"/>
      <c r="N68" s="1"/>
    </row>
    <row r="69" spans="2:14">
      <c r="B69" s="1"/>
      <c r="C69" s="1"/>
      <c r="D69" s="1"/>
      <c r="E69" s="1"/>
      <c r="F69" s="1"/>
      <c r="G69" s="1"/>
      <c r="H69" s="1"/>
      <c r="I69" s="1"/>
      <c r="J69" s="1"/>
      <c r="K69" s="1"/>
      <c r="L69" s="1"/>
      <c r="M69" s="1"/>
      <c r="N69" s="1"/>
    </row>
    <row r="70" spans="2:14">
      <c r="B70" s="1"/>
      <c r="C70" s="1"/>
      <c r="D70" s="1"/>
      <c r="E70" s="1"/>
      <c r="F70" s="1"/>
      <c r="G70" s="1"/>
      <c r="H70" s="1"/>
      <c r="I70" s="1"/>
      <c r="J70" s="1"/>
      <c r="K70" s="1"/>
      <c r="L70" s="1"/>
      <c r="M70" s="1"/>
      <c r="N70" s="1"/>
    </row>
    <row r="71" spans="2:14">
      <c r="B71" s="1"/>
      <c r="C71" s="1"/>
      <c r="D71" s="1"/>
      <c r="E71" s="1"/>
      <c r="F71" s="1"/>
      <c r="G71" s="1"/>
      <c r="H71" s="1"/>
      <c r="I71" s="1"/>
      <c r="J71" s="1"/>
      <c r="K71" s="1"/>
      <c r="L71" s="1"/>
      <c r="M71" s="1"/>
      <c r="N71" s="1"/>
    </row>
    <row r="72" spans="2:14">
      <c r="B72" s="1"/>
      <c r="C72" s="1"/>
      <c r="D72" s="1"/>
      <c r="E72" s="1"/>
      <c r="F72" s="1"/>
      <c r="G72" s="1"/>
      <c r="H72" s="1"/>
      <c r="I72" s="1"/>
      <c r="J72" s="1"/>
      <c r="K72" s="1"/>
      <c r="L72" s="1"/>
      <c r="M72" s="1"/>
      <c r="N72" s="1"/>
    </row>
    <row r="73" spans="2:14">
      <c r="B73" s="1"/>
      <c r="C73" s="1"/>
      <c r="D73" s="1"/>
      <c r="E73" s="1"/>
      <c r="F73" s="1"/>
      <c r="G73" s="1"/>
      <c r="H73" s="1"/>
      <c r="I73" s="1"/>
      <c r="J73" s="1"/>
      <c r="K73" s="1"/>
      <c r="L73" s="1"/>
      <c r="M73" s="1"/>
      <c r="N73" s="1"/>
    </row>
    <row r="74" spans="2:14">
      <c r="B74" s="1"/>
      <c r="C74" s="1"/>
      <c r="D74" s="1"/>
      <c r="E74" s="1"/>
      <c r="F74" s="1"/>
      <c r="G74" s="1"/>
      <c r="H74" s="1"/>
      <c r="I74" s="1"/>
      <c r="J74" s="1"/>
      <c r="K74" s="1"/>
      <c r="L74" s="1"/>
      <c r="M74" s="1"/>
      <c r="N74" s="1"/>
    </row>
    <row r="75" spans="2:14">
      <c r="B75" s="1"/>
      <c r="C75" s="1"/>
      <c r="D75" s="1"/>
      <c r="E75" s="1"/>
      <c r="F75" s="1"/>
      <c r="G75" s="1"/>
      <c r="H75" s="1"/>
      <c r="I75" s="1"/>
      <c r="J75" s="1"/>
      <c r="K75" s="1"/>
      <c r="L75" s="1"/>
      <c r="M75" s="1"/>
      <c r="N75" s="1"/>
    </row>
    <row r="76" spans="2:14">
      <c r="B76" s="1"/>
      <c r="C76" s="1"/>
      <c r="D76" s="1"/>
      <c r="E76" s="1"/>
      <c r="F76" s="1"/>
      <c r="G76" s="1"/>
      <c r="H76" s="1"/>
      <c r="I76" s="1"/>
      <c r="J76" s="1"/>
      <c r="K76" s="1"/>
      <c r="L76" s="1"/>
      <c r="M76" s="1"/>
      <c r="N76" s="1"/>
    </row>
    <row r="77" spans="2:14">
      <c r="B77" s="1"/>
      <c r="C77" s="1"/>
      <c r="D77" s="1"/>
      <c r="E77" s="1"/>
      <c r="F77" s="1"/>
      <c r="G77" s="1"/>
      <c r="H77" s="1"/>
      <c r="I77" s="1"/>
      <c r="J77" s="1"/>
      <c r="K77" s="1"/>
      <c r="L77" s="1"/>
      <c r="M77" s="1"/>
      <c r="N77" s="1"/>
    </row>
    <row r="78" spans="2:14">
      <c r="B78" s="1"/>
      <c r="C78" s="1"/>
      <c r="D78" s="1"/>
      <c r="E78" s="1"/>
      <c r="F78" s="1"/>
      <c r="G78" s="1"/>
      <c r="H78" s="1"/>
      <c r="I78" s="1"/>
      <c r="J78" s="1"/>
      <c r="K78" s="1"/>
      <c r="L78" s="1"/>
      <c r="M78" s="1"/>
      <c r="N78" s="1"/>
    </row>
    <row r="79" spans="2:14">
      <c r="B79" s="1"/>
      <c r="C79" s="1"/>
      <c r="D79" s="1"/>
      <c r="E79" s="1"/>
      <c r="F79" s="1"/>
      <c r="G79" s="1"/>
      <c r="H79" s="1"/>
      <c r="I79" s="1"/>
      <c r="J79" s="1"/>
      <c r="K79" s="1"/>
      <c r="L79" s="1"/>
      <c r="M79" s="1"/>
      <c r="N79" s="1"/>
    </row>
    <row r="80" spans="2:14">
      <c r="B80" s="1"/>
      <c r="C80" s="1"/>
      <c r="D80" s="1"/>
      <c r="E80" s="1"/>
      <c r="F80" s="1"/>
      <c r="G80" s="1"/>
      <c r="H80" s="1"/>
      <c r="I80" s="1"/>
      <c r="J80" s="1"/>
      <c r="K80" s="1"/>
      <c r="L80" s="1"/>
      <c r="M80" s="1"/>
      <c r="N80" s="1"/>
    </row>
    <row r="81" spans="2:14">
      <c r="B81" s="1"/>
      <c r="C81" s="1"/>
      <c r="D81" s="1"/>
      <c r="E81" s="1"/>
      <c r="F81" s="1"/>
      <c r="G81" s="1"/>
      <c r="H81" s="1"/>
      <c r="I81" s="1"/>
      <c r="J81" s="1"/>
      <c r="K81" s="1"/>
      <c r="L81" s="1"/>
      <c r="M81" s="1"/>
      <c r="N81" s="1"/>
    </row>
    <row r="82" spans="2:14">
      <c r="B82" s="1"/>
      <c r="C82" s="1"/>
      <c r="D82" s="1"/>
      <c r="E82" s="1"/>
      <c r="F82" s="1"/>
      <c r="G82" s="1"/>
      <c r="H82" s="1"/>
      <c r="I82" s="1"/>
      <c r="J82" s="1"/>
      <c r="K82" s="1"/>
      <c r="L82" s="1"/>
      <c r="M82" s="1"/>
      <c r="N82" s="1"/>
    </row>
    <row r="83" spans="2:14">
      <c r="B83" s="1"/>
      <c r="C83" s="1"/>
      <c r="D83" s="1"/>
      <c r="E83" s="1"/>
      <c r="F83" s="1"/>
      <c r="G83" s="1"/>
      <c r="H83" s="1"/>
      <c r="I83" s="1"/>
      <c r="J83" s="1"/>
      <c r="K83" s="1"/>
      <c r="L83" s="1"/>
      <c r="M83" s="1"/>
      <c r="N83" s="1"/>
    </row>
    <row r="84" spans="2:14">
      <c r="B84" s="1"/>
      <c r="C84" s="1"/>
      <c r="D84" s="1"/>
      <c r="E84" s="1"/>
      <c r="F84" s="1"/>
      <c r="G84" s="1"/>
      <c r="H84" s="1"/>
      <c r="I84" s="1"/>
      <c r="J84" s="1"/>
      <c r="K84" s="1"/>
      <c r="L84" s="1"/>
      <c r="M84" s="1"/>
      <c r="N84" s="1"/>
    </row>
    <row r="85" spans="2:14">
      <c r="B85" s="1"/>
      <c r="C85" s="1"/>
      <c r="D85" s="1"/>
      <c r="E85" s="1"/>
      <c r="F85" s="1"/>
      <c r="G85" s="1"/>
      <c r="H85" s="1"/>
      <c r="I85" s="1"/>
      <c r="J85" s="1"/>
      <c r="K85" s="1"/>
      <c r="L85" s="1"/>
      <c r="M85" s="1"/>
      <c r="N85" s="1"/>
    </row>
    <row r="86" spans="2:14">
      <c r="B86" s="1"/>
      <c r="C86" s="1"/>
      <c r="D86" s="1"/>
      <c r="E86" s="1"/>
      <c r="F86" s="1"/>
      <c r="G86" s="1"/>
      <c r="H86" s="1"/>
      <c r="I86" s="1"/>
      <c r="J86" s="1"/>
      <c r="K86" s="1"/>
      <c r="L86" s="1"/>
      <c r="M86" s="1"/>
      <c r="N86" s="1"/>
    </row>
    <row r="87" spans="2:14">
      <c r="B87" s="1"/>
      <c r="C87" s="1"/>
      <c r="D87" s="1"/>
      <c r="E87" s="1"/>
      <c r="F87" s="1"/>
      <c r="G87" s="1"/>
      <c r="H87" s="1"/>
      <c r="I87" s="1"/>
      <c r="J87" s="1"/>
      <c r="K87" s="1"/>
      <c r="L87" s="1"/>
      <c r="M87" s="1"/>
      <c r="N87" s="1"/>
    </row>
    <row r="88" spans="2:14">
      <c r="B88" s="1"/>
      <c r="C88" s="1"/>
      <c r="D88" s="1"/>
      <c r="E88" s="1"/>
      <c r="F88" s="1"/>
      <c r="G88" s="1"/>
      <c r="H88" s="1"/>
      <c r="I88" s="1"/>
      <c r="J88" s="1"/>
      <c r="K88" s="1"/>
      <c r="L88" s="1"/>
      <c r="M88" s="1"/>
      <c r="N88" s="1"/>
    </row>
    <row r="89" spans="2:14">
      <c r="B89" s="1"/>
      <c r="C89" s="1"/>
      <c r="D89" s="1"/>
      <c r="E89" s="1"/>
      <c r="F89" s="1"/>
      <c r="G89" s="1"/>
      <c r="H89" s="1"/>
      <c r="I89" s="1"/>
      <c r="J89" s="1"/>
      <c r="K89" s="1"/>
      <c r="L89" s="1"/>
      <c r="M89" s="1"/>
      <c r="N89" s="1"/>
    </row>
    <row r="90" spans="2:14">
      <c r="B90" s="1"/>
      <c r="C90" s="1"/>
      <c r="D90" s="1"/>
      <c r="E90" s="1"/>
      <c r="F90" s="1"/>
      <c r="G90" s="1"/>
      <c r="H90" s="1"/>
      <c r="I90" s="1"/>
      <c r="J90" s="1"/>
      <c r="K90" s="1"/>
      <c r="L90" s="1"/>
      <c r="M90" s="1"/>
      <c r="N90" s="1"/>
    </row>
    <row r="91" spans="2:14">
      <c r="B91" s="1"/>
      <c r="C91" s="1"/>
      <c r="D91" s="1"/>
      <c r="E91" s="1"/>
      <c r="F91" s="1"/>
      <c r="G91" s="1"/>
      <c r="H91" s="1"/>
      <c r="I91" s="1"/>
      <c r="J91" s="1"/>
      <c r="K91" s="1"/>
      <c r="L91" s="1"/>
      <c r="M91" s="1"/>
      <c r="N91" s="1"/>
    </row>
    <row r="92" spans="2:14">
      <c r="B92" s="1"/>
      <c r="C92" s="1"/>
      <c r="D92" s="1"/>
      <c r="E92" s="1"/>
      <c r="F92" s="1"/>
      <c r="G92" s="1"/>
      <c r="H92" s="1"/>
      <c r="I92" s="1"/>
      <c r="J92" s="1"/>
      <c r="K92" s="1"/>
      <c r="L92" s="1"/>
      <c r="M92" s="1"/>
      <c r="N92" s="1"/>
    </row>
    <row r="93" spans="2:14">
      <c r="B93" s="1"/>
      <c r="C93" s="1"/>
      <c r="D93" s="1"/>
      <c r="E93" s="1"/>
      <c r="F93" s="1"/>
      <c r="G93" s="1"/>
      <c r="H93" s="1"/>
      <c r="I93" s="1"/>
      <c r="J93" s="1"/>
      <c r="K93" s="1"/>
      <c r="L93" s="1"/>
      <c r="M93" s="1"/>
      <c r="N93" s="1"/>
    </row>
    <row r="94" spans="2:14">
      <c r="B94" s="1"/>
      <c r="C94" s="1"/>
      <c r="D94" s="1"/>
      <c r="E94" s="1"/>
      <c r="F94" s="1"/>
      <c r="G94" s="1"/>
      <c r="H94" s="1"/>
      <c r="I94" s="1"/>
      <c r="J94" s="1"/>
      <c r="K94" s="1"/>
      <c r="L94" s="1"/>
      <c r="M94" s="1"/>
      <c r="N94" s="1"/>
    </row>
    <row r="95" spans="2:14">
      <c r="B95" s="1"/>
      <c r="C95" s="1"/>
      <c r="D95" s="1"/>
      <c r="E95" s="1"/>
      <c r="F95" s="1"/>
      <c r="G95" s="1"/>
      <c r="H95" s="1"/>
      <c r="I95" s="1"/>
      <c r="J95" s="1"/>
      <c r="K95" s="1"/>
      <c r="L95" s="1"/>
      <c r="M95" s="1"/>
      <c r="N95" s="1"/>
    </row>
    <row r="96" spans="2:14">
      <c r="B96" s="1"/>
      <c r="C96" s="1"/>
      <c r="D96" s="1"/>
      <c r="E96" s="1"/>
      <c r="F96" s="1"/>
      <c r="G96" s="1"/>
      <c r="H96" s="1"/>
      <c r="I96" s="1"/>
      <c r="J96" s="1"/>
      <c r="K96" s="1"/>
      <c r="L96" s="1"/>
      <c r="M96" s="1"/>
      <c r="N96" s="1"/>
    </row>
    <row r="97" spans="2:14">
      <c r="B97" s="1"/>
      <c r="C97" s="1"/>
      <c r="D97" s="1"/>
      <c r="E97" s="1"/>
      <c r="F97" s="1"/>
      <c r="G97" s="1"/>
      <c r="H97" s="1"/>
      <c r="I97" s="1"/>
      <c r="J97" s="1"/>
      <c r="K97" s="1"/>
      <c r="L97" s="1"/>
      <c r="M97" s="1"/>
      <c r="N97" s="1"/>
    </row>
    <row r="98" spans="2:14">
      <c r="B98" s="1"/>
      <c r="C98" s="1"/>
      <c r="D98" s="1"/>
      <c r="E98" s="1"/>
      <c r="F98" s="1"/>
      <c r="G98" s="1"/>
      <c r="H98" s="1"/>
      <c r="I98" s="1"/>
      <c r="J98" s="1"/>
      <c r="K98" s="1"/>
      <c r="L98" s="1"/>
      <c r="M98" s="1"/>
      <c r="N98" s="1"/>
    </row>
    <row r="99" spans="2:14">
      <c r="B99" s="1"/>
      <c r="C99" s="1"/>
      <c r="D99" s="1"/>
      <c r="E99" s="1"/>
      <c r="F99" s="1"/>
      <c r="G99" s="1"/>
      <c r="H99" s="1"/>
      <c r="I99" s="1"/>
      <c r="J99" s="1"/>
      <c r="K99" s="1"/>
      <c r="L99" s="1"/>
      <c r="M99" s="1"/>
      <c r="N99" s="1"/>
    </row>
    <row r="100" spans="2:14">
      <c r="B100" s="1"/>
      <c r="C100" s="1"/>
      <c r="D100" s="1"/>
      <c r="E100" s="1"/>
      <c r="F100" s="1"/>
      <c r="G100" s="1"/>
      <c r="H100" s="1"/>
      <c r="I100" s="1"/>
      <c r="J100" s="1"/>
      <c r="K100" s="1"/>
      <c r="L100" s="1"/>
      <c r="M100" s="1"/>
      <c r="N100" s="1"/>
    </row>
    <row r="101" spans="2:14">
      <c r="B101" s="1"/>
      <c r="C101" s="1"/>
      <c r="D101" s="1"/>
      <c r="E101" s="1"/>
      <c r="F101" s="1"/>
      <c r="G101" s="1"/>
      <c r="H101" s="1"/>
      <c r="I101" s="1"/>
      <c r="J101" s="1"/>
      <c r="K101" s="1"/>
      <c r="L101" s="1"/>
      <c r="M101" s="1"/>
      <c r="N101" s="1"/>
    </row>
    <row r="102" spans="2:14">
      <c r="B102" s="1"/>
      <c r="C102" s="1"/>
      <c r="D102" s="1"/>
      <c r="E102" s="1"/>
      <c r="F102" s="1"/>
      <c r="G102" s="1"/>
      <c r="H102" s="1"/>
      <c r="I102" s="1"/>
      <c r="J102" s="1"/>
      <c r="K102" s="1"/>
      <c r="L102" s="1"/>
      <c r="M102" s="1"/>
      <c r="N102" s="1"/>
    </row>
    <row r="103" spans="2:14">
      <c r="B103" s="1"/>
      <c r="C103" s="1"/>
      <c r="D103" s="1"/>
      <c r="E103" s="1"/>
      <c r="F103" s="1"/>
      <c r="G103" s="1"/>
      <c r="H103" s="1"/>
      <c r="I103" s="1"/>
      <c r="J103" s="1"/>
      <c r="K103" s="1"/>
      <c r="L103" s="1"/>
      <c r="M103" s="1"/>
      <c r="N103" s="1"/>
    </row>
    <row r="104" spans="2:14">
      <c r="B104" s="1"/>
      <c r="C104" s="1"/>
      <c r="D104" s="1"/>
      <c r="E104" s="1"/>
      <c r="F104" s="1"/>
      <c r="G104" s="1"/>
      <c r="H104" s="1"/>
      <c r="I104" s="1"/>
      <c r="J104" s="1"/>
      <c r="K104" s="1"/>
      <c r="L104" s="1"/>
      <c r="M104" s="1"/>
      <c r="N104" s="1"/>
    </row>
    <row r="105" spans="2:14">
      <c r="B105" s="1"/>
      <c r="C105" s="1"/>
      <c r="D105" s="1"/>
      <c r="E105" s="1"/>
      <c r="F105" s="1"/>
      <c r="G105" s="1"/>
      <c r="H105" s="1"/>
      <c r="I105" s="1"/>
      <c r="J105" s="1"/>
      <c r="K105" s="1"/>
      <c r="L105" s="1"/>
      <c r="M105" s="1"/>
      <c r="N105" s="1"/>
    </row>
    <row r="106" spans="2:14">
      <c r="B106" s="1"/>
      <c r="C106" s="1"/>
      <c r="D106" s="1"/>
      <c r="E106" s="1"/>
      <c r="F106" s="1"/>
      <c r="G106" s="1"/>
      <c r="H106" s="1"/>
      <c r="I106" s="1"/>
      <c r="J106" s="1"/>
      <c r="K106" s="1"/>
      <c r="L106" s="1"/>
      <c r="M106" s="1"/>
      <c r="N106" s="1"/>
    </row>
    <row r="107" spans="2:14">
      <c r="B107" s="1"/>
      <c r="C107" s="1"/>
      <c r="D107" s="1"/>
      <c r="E107" s="1"/>
      <c r="F107" s="1"/>
      <c r="G107" s="1"/>
      <c r="H107" s="1"/>
      <c r="I107" s="1"/>
      <c r="J107" s="1"/>
      <c r="K107" s="1"/>
      <c r="L107" s="1"/>
      <c r="M107" s="1"/>
      <c r="N107" s="1"/>
    </row>
    <row r="108" spans="2:14">
      <c r="B108" s="1"/>
      <c r="C108" s="1"/>
      <c r="D108" s="1"/>
      <c r="E108" s="1"/>
      <c r="F108" s="1"/>
      <c r="G108" s="1"/>
      <c r="H108" s="1"/>
      <c r="I108" s="1"/>
      <c r="J108" s="1"/>
      <c r="K108" s="1"/>
      <c r="L108" s="1"/>
      <c r="M108" s="1"/>
      <c r="N108" s="1"/>
    </row>
    <row r="109" spans="2:14">
      <c r="B109" s="1"/>
      <c r="C109" s="1"/>
      <c r="D109" s="1"/>
      <c r="E109" s="1"/>
      <c r="F109" s="1"/>
      <c r="G109" s="1"/>
      <c r="H109" s="1"/>
      <c r="I109" s="1"/>
      <c r="J109" s="1"/>
      <c r="K109" s="1"/>
      <c r="L109" s="1"/>
      <c r="M109" s="1"/>
      <c r="N109" s="1"/>
    </row>
    <row r="110" spans="2:14">
      <c r="B110" s="1"/>
      <c r="C110" s="1"/>
      <c r="D110" s="1"/>
      <c r="E110" s="1"/>
      <c r="F110" s="1"/>
      <c r="G110" s="1"/>
      <c r="H110" s="1"/>
      <c r="I110" s="1"/>
      <c r="J110" s="1"/>
      <c r="K110" s="1"/>
      <c r="L110" s="1"/>
      <c r="M110" s="1"/>
      <c r="N110" s="1"/>
    </row>
    <row r="111" spans="2:14">
      <c r="B111" s="1"/>
      <c r="C111" s="1"/>
      <c r="D111" s="1"/>
      <c r="E111" s="1"/>
      <c r="F111" s="1"/>
      <c r="G111" s="1"/>
      <c r="H111" s="1"/>
      <c r="I111" s="1"/>
      <c r="J111" s="1"/>
      <c r="K111" s="1"/>
      <c r="L111" s="1"/>
      <c r="M111" s="1"/>
      <c r="N111" s="1"/>
    </row>
    <row r="112" spans="2:14">
      <c r="B112" s="1"/>
      <c r="C112" s="1"/>
      <c r="D112" s="1"/>
      <c r="E112" s="1"/>
      <c r="F112" s="1"/>
      <c r="G112" s="1"/>
      <c r="H112" s="1"/>
      <c r="I112" s="1"/>
      <c r="J112" s="1"/>
      <c r="K112" s="1"/>
      <c r="L112" s="1"/>
      <c r="M112" s="1"/>
      <c r="N112" s="1"/>
    </row>
    <row r="113" spans="2:14">
      <c r="B113" s="1"/>
      <c r="C113" s="1"/>
      <c r="D113" s="1"/>
      <c r="E113" s="1"/>
      <c r="F113" s="1"/>
      <c r="G113" s="1"/>
      <c r="H113" s="1"/>
      <c r="I113" s="1"/>
      <c r="J113" s="1"/>
      <c r="K113" s="1"/>
      <c r="L113" s="1"/>
      <c r="M113" s="1"/>
      <c r="N113" s="1"/>
    </row>
    <row r="114" spans="2:14">
      <c r="B114" s="1"/>
      <c r="C114" s="1"/>
      <c r="D114" s="1"/>
      <c r="E114" s="1"/>
      <c r="F114" s="1"/>
      <c r="G114" s="1"/>
      <c r="H114" s="1"/>
      <c r="I114" s="1"/>
      <c r="J114" s="1"/>
      <c r="K114" s="1"/>
      <c r="L114" s="1"/>
      <c r="M114" s="1"/>
      <c r="N114" s="1"/>
    </row>
    <row r="115" spans="2:14">
      <c r="B115" s="1"/>
      <c r="C115" s="1"/>
      <c r="D115" s="1"/>
      <c r="E115" s="1"/>
      <c r="F115" s="1"/>
      <c r="G115" s="1"/>
      <c r="H115" s="1"/>
      <c r="I115" s="1"/>
      <c r="J115" s="1"/>
      <c r="K115" s="1"/>
      <c r="L115" s="1"/>
      <c r="M115" s="1"/>
      <c r="N115" s="1"/>
    </row>
    <row r="116" spans="2:14">
      <c r="B116" s="1"/>
      <c r="C116" s="1"/>
      <c r="D116" s="1"/>
      <c r="E116" s="1"/>
      <c r="F116" s="1"/>
      <c r="G116" s="1"/>
      <c r="H116" s="1"/>
      <c r="I116" s="1"/>
      <c r="J116" s="1"/>
      <c r="K116" s="1"/>
      <c r="L116" s="1"/>
      <c r="M116" s="1"/>
      <c r="N116" s="1"/>
    </row>
    <row r="117" spans="2:14">
      <c r="B117" s="1"/>
      <c r="C117" s="1"/>
      <c r="D117" s="1"/>
      <c r="E117" s="1"/>
      <c r="F117" s="1"/>
      <c r="G117" s="1"/>
      <c r="H117" s="1"/>
      <c r="I117" s="1"/>
      <c r="J117" s="1"/>
      <c r="K117" s="1"/>
      <c r="L117" s="1"/>
      <c r="M117" s="1"/>
      <c r="N117" s="1"/>
    </row>
    <row r="118" spans="2:14">
      <c r="B118" s="1"/>
      <c r="C118" s="1"/>
      <c r="D118" s="1"/>
      <c r="E118" s="1"/>
      <c r="F118" s="1"/>
      <c r="G118" s="1"/>
      <c r="H118" s="1"/>
      <c r="I118" s="1"/>
      <c r="J118" s="1"/>
      <c r="K118" s="1"/>
      <c r="L118" s="1"/>
      <c r="M118" s="1"/>
      <c r="N118" s="1"/>
    </row>
    <row r="119" spans="2:14">
      <c r="B119" s="1"/>
      <c r="C119" s="1"/>
      <c r="D119" s="1"/>
      <c r="E119" s="1"/>
      <c r="F119" s="1"/>
      <c r="G119" s="1"/>
      <c r="H119" s="1"/>
      <c r="I119" s="1"/>
      <c r="J119" s="1"/>
      <c r="K119" s="1"/>
      <c r="L119" s="1"/>
      <c r="M119" s="1"/>
      <c r="N119" s="1"/>
    </row>
    <row r="120" spans="2:14">
      <c r="B120" s="1"/>
      <c r="C120" s="1"/>
      <c r="D120" s="1"/>
      <c r="E120" s="1"/>
      <c r="F120" s="1"/>
      <c r="G120" s="1"/>
      <c r="H120" s="1"/>
      <c r="I120" s="1"/>
      <c r="J120" s="1"/>
      <c r="K120" s="1"/>
      <c r="L120" s="1"/>
      <c r="M120" s="1"/>
      <c r="N120" s="1"/>
    </row>
    <row r="121" spans="2:14">
      <c r="B121" s="1"/>
      <c r="C121" s="1"/>
      <c r="D121" s="1"/>
      <c r="E121" s="1"/>
      <c r="F121" s="1"/>
      <c r="G121" s="1"/>
      <c r="H121" s="1"/>
      <c r="I121" s="1"/>
      <c r="J121" s="1"/>
      <c r="K121" s="1"/>
      <c r="L121" s="1"/>
      <c r="M121" s="1"/>
      <c r="N121" s="1"/>
    </row>
    <row r="122" spans="2:14">
      <c r="B122" s="1"/>
      <c r="C122" s="1"/>
      <c r="D122" s="1"/>
      <c r="E122" s="1"/>
      <c r="F122" s="1"/>
      <c r="G122" s="1"/>
      <c r="H122" s="1"/>
      <c r="I122" s="1"/>
      <c r="J122" s="1"/>
      <c r="K122" s="1"/>
      <c r="L122" s="1"/>
      <c r="M122" s="1"/>
      <c r="N122" s="1"/>
    </row>
    <row r="123" spans="2:14">
      <c r="B123" s="1"/>
      <c r="C123" s="1"/>
      <c r="D123" s="1"/>
      <c r="E123" s="1"/>
      <c r="F123" s="1"/>
      <c r="G123" s="1"/>
      <c r="H123" s="1"/>
      <c r="I123" s="1"/>
      <c r="J123" s="1"/>
      <c r="K123" s="1"/>
      <c r="L123" s="1"/>
      <c r="M123" s="1"/>
      <c r="N123" s="1"/>
    </row>
    <row r="124" spans="2:14">
      <c r="B124" s="1"/>
      <c r="C124" s="1"/>
      <c r="D124" s="1"/>
      <c r="E124" s="1"/>
      <c r="F124" s="1"/>
      <c r="G124" s="1"/>
      <c r="H124" s="1"/>
      <c r="I124" s="1"/>
      <c r="J124" s="1"/>
      <c r="K124" s="1"/>
      <c r="L124" s="1"/>
      <c r="M124" s="1"/>
      <c r="N124" s="1"/>
    </row>
    <row r="125" spans="2:14">
      <c r="B125" s="1"/>
      <c r="C125" s="1"/>
      <c r="D125" s="1"/>
      <c r="E125" s="1"/>
      <c r="F125" s="1"/>
      <c r="G125" s="1"/>
      <c r="H125" s="1"/>
      <c r="I125" s="1"/>
      <c r="J125" s="1"/>
      <c r="K125" s="1"/>
      <c r="L125" s="1"/>
      <c r="M125" s="1"/>
      <c r="N125" s="1"/>
    </row>
    <row r="126" spans="2:14">
      <c r="B126" s="1"/>
      <c r="C126" s="1"/>
      <c r="D126" s="1"/>
      <c r="E126" s="1"/>
      <c r="F126" s="1"/>
      <c r="G126" s="1"/>
      <c r="H126" s="1"/>
      <c r="I126" s="1"/>
      <c r="J126" s="1"/>
      <c r="K126" s="1"/>
      <c r="L126" s="1"/>
      <c r="M126" s="1"/>
      <c r="N126" s="1"/>
    </row>
    <row r="127" spans="2:14">
      <c r="B127" s="1"/>
      <c r="C127" s="1"/>
      <c r="D127" s="1"/>
      <c r="E127" s="1"/>
      <c r="F127" s="1"/>
      <c r="G127" s="1"/>
      <c r="H127" s="1"/>
      <c r="I127" s="1"/>
      <c r="J127" s="1"/>
      <c r="K127" s="1"/>
      <c r="L127" s="1"/>
      <c r="M127" s="1"/>
      <c r="N127" s="1"/>
    </row>
    <row r="128" spans="2:14">
      <c r="B128" s="1"/>
      <c r="C128" s="1"/>
      <c r="D128" s="1"/>
      <c r="E128" s="1"/>
      <c r="F128" s="1"/>
      <c r="G128" s="1"/>
      <c r="H128" s="1"/>
      <c r="I128" s="1"/>
      <c r="J128" s="1"/>
      <c r="K128" s="1"/>
      <c r="L128" s="1"/>
      <c r="M128" s="1"/>
      <c r="N128" s="1"/>
    </row>
    <row r="129" spans="2:14">
      <c r="B129" s="1"/>
      <c r="C129" s="1"/>
      <c r="D129" s="1"/>
      <c r="E129" s="1"/>
      <c r="F129" s="1"/>
      <c r="G129" s="1"/>
      <c r="H129" s="1"/>
      <c r="I129" s="1"/>
      <c r="J129" s="1"/>
      <c r="K129" s="1"/>
      <c r="L129" s="1"/>
      <c r="M129" s="1"/>
      <c r="N129" s="1"/>
    </row>
    <row r="130" spans="2:14">
      <c r="B130" s="1"/>
      <c r="C130" s="1"/>
      <c r="D130" s="1"/>
      <c r="E130" s="1"/>
      <c r="F130" s="1"/>
      <c r="G130" s="1"/>
      <c r="H130" s="1"/>
      <c r="I130" s="1"/>
      <c r="J130" s="1"/>
      <c r="K130" s="1"/>
      <c r="L130" s="1"/>
      <c r="M130" s="1"/>
      <c r="N130" s="1"/>
    </row>
    <row r="131" spans="2:14">
      <c r="B131" s="1"/>
      <c r="C131" s="1"/>
      <c r="D131" s="1"/>
      <c r="E131" s="1"/>
      <c r="F131" s="1"/>
      <c r="G131" s="1"/>
      <c r="H131" s="1"/>
      <c r="I131" s="1"/>
      <c r="J131" s="1"/>
      <c r="K131" s="1"/>
      <c r="L131" s="1"/>
      <c r="M131" s="1"/>
      <c r="N131" s="1"/>
    </row>
    <row r="132" spans="2:14">
      <c r="B132" s="1"/>
      <c r="C132" s="1"/>
      <c r="D132" s="1"/>
      <c r="E132" s="1"/>
      <c r="F132" s="1"/>
      <c r="G132" s="1"/>
      <c r="H132" s="1"/>
      <c r="I132" s="1"/>
      <c r="J132" s="1"/>
      <c r="K132" s="1"/>
      <c r="L132" s="1"/>
      <c r="M132" s="1"/>
      <c r="N132" s="1"/>
    </row>
    <row r="133" spans="2:14">
      <c r="B133" s="1"/>
      <c r="C133" s="1"/>
      <c r="D133" s="1"/>
      <c r="E133" s="1"/>
      <c r="F133" s="1"/>
      <c r="G133" s="1"/>
      <c r="H133" s="1"/>
      <c r="I133" s="1"/>
      <c r="J133" s="1"/>
      <c r="K133" s="1"/>
      <c r="L133" s="1"/>
      <c r="M133" s="1"/>
      <c r="N133" s="1"/>
    </row>
    <row r="134" spans="2:14">
      <c r="B134" s="1"/>
      <c r="C134" s="1"/>
      <c r="D134" s="1"/>
      <c r="E134" s="1"/>
      <c r="F134" s="1"/>
      <c r="G134" s="1"/>
      <c r="H134" s="1"/>
      <c r="I134" s="1"/>
      <c r="J134" s="1"/>
      <c r="K134" s="1"/>
      <c r="L134" s="1"/>
      <c r="M134" s="1"/>
      <c r="N134" s="1"/>
    </row>
    <row r="135" spans="2:14">
      <c r="B135" s="1"/>
      <c r="C135" s="1"/>
      <c r="D135" s="1"/>
      <c r="E135" s="1"/>
      <c r="F135" s="1"/>
      <c r="G135" s="1"/>
      <c r="H135" s="1"/>
      <c r="I135" s="1"/>
      <c r="J135" s="1"/>
      <c r="K135" s="1"/>
      <c r="L135" s="1"/>
      <c r="M135" s="1"/>
      <c r="N135" s="1"/>
    </row>
    <row r="136" spans="2:14">
      <c r="B136" s="1"/>
      <c r="C136" s="1"/>
      <c r="D136" s="1"/>
      <c r="E136" s="1"/>
      <c r="F136" s="1"/>
      <c r="G136" s="1"/>
      <c r="H136" s="1"/>
      <c r="I136" s="1"/>
      <c r="J136" s="1"/>
      <c r="K136" s="1"/>
      <c r="L136" s="1"/>
      <c r="M136" s="1"/>
      <c r="N136" s="1"/>
    </row>
    <row r="137" spans="2:14">
      <c r="B137" s="1"/>
      <c r="C137" s="1"/>
      <c r="D137" s="1"/>
      <c r="E137" s="1"/>
      <c r="F137" s="1"/>
      <c r="G137" s="1"/>
      <c r="H137" s="1"/>
      <c r="I137" s="1"/>
      <c r="J137" s="1"/>
      <c r="K137" s="1"/>
      <c r="L137" s="1"/>
      <c r="M137" s="1"/>
      <c r="N137" s="1"/>
    </row>
    <row r="138" spans="2:14">
      <c r="B138" s="1"/>
      <c r="C138" s="1"/>
      <c r="D138" s="1"/>
      <c r="E138" s="1"/>
      <c r="F138" s="1"/>
      <c r="G138" s="1"/>
      <c r="H138" s="1"/>
      <c r="I138" s="1"/>
      <c r="J138" s="1"/>
      <c r="K138" s="1"/>
      <c r="L138" s="1"/>
      <c r="M138" s="1"/>
      <c r="N138" s="1"/>
    </row>
    <row r="139" spans="2:14">
      <c r="B139" s="1"/>
      <c r="C139" s="1"/>
      <c r="D139" s="1"/>
      <c r="E139" s="1"/>
      <c r="F139" s="1"/>
      <c r="G139" s="1"/>
      <c r="H139" s="1"/>
      <c r="I139" s="1"/>
      <c r="J139" s="1"/>
      <c r="K139" s="1"/>
      <c r="L139" s="1"/>
      <c r="M139" s="1"/>
      <c r="N139" s="1"/>
    </row>
    <row r="140" spans="2:14">
      <c r="B140" s="1"/>
      <c r="C140" s="1"/>
      <c r="D140" s="1"/>
      <c r="E140" s="1"/>
      <c r="F140" s="1"/>
      <c r="G140" s="1"/>
      <c r="H140" s="1"/>
      <c r="I140" s="1"/>
      <c r="J140" s="1"/>
      <c r="K140" s="1"/>
      <c r="L140" s="1"/>
      <c r="M140" s="1"/>
      <c r="N140" s="1"/>
    </row>
    <row r="141" spans="2:14">
      <c r="B141" s="1"/>
      <c r="C141" s="1"/>
      <c r="D141" s="1"/>
      <c r="E141" s="1"/>
      <c r="F141" s="1"/>
      <c r="G141" s="1"/>
      <c r="H141" s="1"/>
      <c r="I141" s="1"/>
      <c r="J141" s="1"/>
      <c r="K141" s="1"/>
      <c r="L141" s="1"/>
      <c r="M141" s="1"/>
      <c r="N141" s="1"/>
    </row>
    <row r="142" spans="2:14">
      <c r="B142" s="1"/>
      <c r="C142" s="1"/>
      <c r="D142" s="1"/>
      <c r="E142" s="1"/>
      <c r="F142" s="1"/>
      <c r="G142" s="1"/>
      <c r="H142" s="1"/>
      <c r="I142" s="1"/>
      <c r="J142" s="1"/>
      <c r="K142" s="1"/>
      <c r="L142" s="1"/>
      <c r="M142" s="1"/>
      <c r="N142" s="1"/>
    </row>
    <row r="143" spans="2:14">
      <c r="B143" s="1"/>
      <c r="C143" s="1"/>
      <c r="D143" s="1"/>
      <c r="E143" s="1"/>
      <c r="F143" s="1"/>
      <c r="G143" s="1"/>
      <c r="H143" s="1"/>
      <c r="I143" s="1"/>
      <c r="J143" s="1"/>
      <c r="K143" s="1"/>
      <c r="L143" s="1"/>
      <c r="M143" s="1"/>
      <c r="N143" s="1"/>
    </row>
    <row r="144" spans="2:14">
      <c r="B144" s="1"/>
      <c r="C144" s="1"/>
      <c r="D144" s="1"/>
      <c r="E144" s="1"/>
      <c r="F144" s="1"/>
      <c r="G144" s="1"/>
      <c r="H144" s="1"/>
      <c r="I144" s="1"/>
      <c r="J144" s="1"/>
      <c r="K144" s="1"/>
      <c r="L144" s="1"/>
      <c r="M144" s="1"/>
      <c r="N144" s="1"/>
    </row>
    <row r="145" spans="2:14">
      <c r="B145" s="1"/>
      <c r="C145" s="1"/>
      <c r="D145" s="1"/>
      <c r="E145" s="1"/>
      <c r="F145" s="1"/>
      <c r="G145" s="1"/>
      <c r="H145" s="1"/>
      <c r="I145" s="1"/>
      <c r="J145" s="1"/>
      <c r="K145" s="1"/>
      <c r="L145" s="1"/>
      <c r="M145" s="1"/>
      <c r="N145" s="1"/>
    </row>
    <row r="146" spans="2:14">
      <c r="B146" s="1"/>
      <c r="C146" s="1"/>
      <c r="D146" s="1"/>
      <c r="E146" s="1"/>
      <c r="F146" s="1"/>
      <c r="G146" s="1"/>
      <c r="H146" s="1"/>
      <c r="I146" s="1"/>
      <c r="J146" s="1"/>
      <c r="K146" s="1"/>
      <c r="L146" s="1"/>
      <c r="M146" s="1"/>
      <c r="N146" s="1"/>
    </row>
    <row r="147" spans="2:14">
      <c r="B147" s="1"/>
      <c r="C147" s="1"/>
      <c r="D147" s="1"/>
      <c r="E147" s="1"/>
      <c r="F147" s="1"/>
      <c r="G147" s="1"/>
      <c r="H147" s="1"/>
      <c r="I147" s="1"/>
      <c r="J147" s="1"/>
      <c r="K147" s="1"/>
      <c r="L147" s="1"/>
      <c r="M147" s="1"/>
      <c r="N147" s="1"/>
    </row>
    <row r="148" spans="2:14">
      <c r="B148" s="1"/>
      <c r="C148" s="1"/>
      <c r="D148" s="1"/>
      <c r="E148" s="1"/>
      <c r="F148" s="1"/>
      <c r="G148" s="1"/>
      <c r="H148" s="1"/>
      <c r="I148" s="1"/>
      <c r="J148" s="1"/>
      <c r="K148" s="1"/>
      <c r="L148" s="1"/>
      <c r="M148" s="1"/>
      <c r="N148" s="1"/>
    </row>
    <row r="149" spans="2:14">
      <c r="B149" s="1"/>
      <c r="C149" s="1"/>
      <c r="D149" s="1"/>
      <c r="E149" s="1"/>
      <c r="F149" s="1"/>
      <c r="G149" s="1"/>
      <c r="H149" s="1"/>
      <c r="I149" s="1"/>
      <c r="J149" s="1"/>
      <c r="K149" s="1"/>
      <c r="L149" s="1"/>
      <c r="M149" s="1"/>
      <c r="N149" s="1"/>
    </row>
    <row r="150" spans="2:14">
      <c r="B150" s="1"/>
      <c r="C150" s="1"/>
      <c r="D150" s="1"/>
      <c r="E150" s="1"/>
      <c r="F150" s="1"/>
      <c r="G150" s="1"/>
      <c r="H150" s="1"/>
      <c r="I150" s="1"/>
      <c r="J150" s="1"/>
      <c r="K150" s="1"/>
      <c r="L150" s="1"/>
      <c r="M150" s="1"/>
      <c r="N150" s="1"/>
    </row>
    <row r="151" spans="2:14">
      <c r="B151" s="1"/>
      <c r="C151" s="1"/>
      <c r="D151" s="1"/>
      <c r="E151" s="1"/>
      <c r="F151" s="1"/>
      <c r="G151" s="1"/>
      <c r="H151" s="1"/>
      <c r="I151" s="1"/>
      <c r="J151" s="1"/>
      <c r="K151" s="1"/>
      <c r="L151" s="1"/>
      <c r="M151" s="1"/>
      <c r="N151" s="1"/>
    </row>
    <row r="152" spans="2:14">
      <c r="B152" s="1"/>
      <c r="C152" s="1"/>
      <c r="D152" s="1"/>
      <c r="E152" s="1"/>
      <c r="F152" s="1"/>
      <c r="G152" s="1"/>
      <c r="H152" s="1"/>
      <c r="I152" s="1"/>
      <c r="J152" s="1"/>
      <c r="K152" s="1"/>
      <c r="L152" s="1"/>
      <c r="M152" s="1"/>
      <c r="N152" s="1"/>
    </row>
    <row r="153" spans="2:14">
      <c r="B153" s="1"/>
      <c r="C153" s="1"/>
      <c r="D153" s="1"/>
      <c r="E153" s="1"/>
      <c r="F153" s="1"/>
      <c r="G153" s="1"/>
      <c r="H153" s="1"/>
      <c r="I153" s="1"/>
      <c r="J153" s="1"/>
      <c r="K153" s="1"/>
      <c r="L153" s="1"/>
      <c r="M153" s="1"/>
      <c r="N153" s="1"/>
    </row>
    <row r="154" spans="2:14">
      <c r="B154" s="1"/>
      <c r="C154" s="1"/>
      <c r="D154" s="1"/>
      <c r="E154" s="1"/>
      <c r="F154" s="1"/>
      <c r="G154" s="1"/>
      <c r="H154" s="1"/>
      <c r="I154" s="1"/>
      <c r="J154" s="1"/>
      <c r="K154" s="1"/>
      <c r="L154" s="1"/>
      <c r="M154" s="1"/>
      <c r="N154" s="1"/>
    </row>
    <row r="155" spans="2:14">
      <c r="B155" s="1"/>
      <c r="C155" s="1"/>
      <c r="D155" s="1"/>
      <c r="E155" s="1"/>
      <c r="F155" s="1"/>
      <c r="G155" s="1"/>
      <c r="H155" s="1"/>
      <c r="I155" s="1"/>
      <c r="J155" s="1"/>
      <c r="K155" s="1"/>
      <c r="L155" s="1"/>
      <c r="M155" s="1"/>
      <c r="N155" s="1"/>
    </row>
    <row r="156" spans="2:14">
      <c r="B156" s="1"/>
      <c r="C156" s="1"/>
      <c r="D156" s="1"/>
      <c r="E156" s="1"/>
      <c r="F156" s="1"/>
      <c r="G156" s="1"/>
      <c r="H156" s="1"/>
      <c r="I156" s="1"/>
      <c r="J156" s="1"/>
      <c r="K156" s="1"/>
      <c r="L156" s="1"/>
      <c r="M156" s="1"/>
      <c r="N156" s="1"/>
    </row>
    <row r="157" spans="2:14">
      <c r="B157" s="1"/>
      <c r="C157" s="1"/>
      <c r="D157" s="1"/>
      <c r="E157" s="1"/>
      <c r="F157" s="1"/>
      <c r="G157" s="1"/>
      <c r="H157" s="1"/>
      <c r="I157" s="1"/>
      <c r="J157" s="1"/>
      <c r="K157" s="1"/>
      <c r="L157" s="1"/>
      <c r="M157" s="1"/>
      <c r="N157" s="1"/>
    </row>
    <row r="158" spans="2:14">
      <c r="B158" s="1"/>
      <c r="C158" s="1"/>
      <c r="D158" s="1"/>
      <c r="E158" s="1"/>
      <c r="F158" s="1"/>
      <c r="G158" s="1"/>
      <c r="H158" s="1"/>
      <c r="I158" s="1"/>
      <c r="J158" s="1"/>
      <c r="K158" s="1"/>
      <c r="L158" s="1"/>
      <c r="M158" s="1"/>
      <c r="N158" s="1"/>
    </row>
    <row r="159" spans="2:14">
      <c r="B159" s="1"/>
      <c r="C159" s="1"/>
      <c r="D159" s="1"/>
      <c r="E159" s="1"/>
      <c r="F159" s="1"/>
      <c r="G159" s="1"/>
      <c r="H159" s="1"/>
      <c r="I159" s="1"/>
      <c r="J159" s="1"/>
      <c r="K159" s="1"/>
      <c r="L159" s="1"/>
      <c r="M159" s="1"/>
      <c r="N159" s="1"/>
    </row>
    <row r="160" spans="2:14">
      <c r="B160" s="1"/>
      <c r="C160" s="1"/>
      <c r="D160" s="1"/>
      <c r="E160" s="1"/>
      <c r="F160" s="1"/>
      <c r="G160" s="1"/>
      <c r="H160" s="1"/>
      <c r="I160" s="1"/>
      <c r="J160" s="1"/>
      <c r="K160" s="1"/>
      <c r="L160" s="1"/>
      <c r="M160" s="1"/>
      <c r="N160" s="1"/>
    </row>
    <row r="161" spans="2:14">
      <c r="B161" s="1"/>
      <c r="C161" s="1"/>
      <c r="D161" s="1"/>
      <c r="E161" s="1"/>
      <c r="F161" s="1"/>
      <c r="G161" s="1"/>
      <c r="H161" s="1"/>
      <c r="I161" s="1"/>
      <c r="J161" s="1"/>
      <c r="K161" s="1"/>
      <c r="L161" s="1"/>
      <c r="M161" s="1"/>
      <c r="N161" s="1"/>
    </row>
    <row r="162" spans="2:14">
      <c r="B162" s="1"/>
      <c r="C162" s="1"/>
      <c r="D162" s="1"/>
      <c r="E162" s="1"/>
      <c r="F162" s="1"/>
      <c r="G162" s="1"/>
      <c r="H162" s="1"/>
      <c r="I162" s="1"/>
      <c r="J162" s="1"/>
      <c r="K162" s="1"/>
      <c r="L162" s="1"/>
      <c r="M162" s="1"/>
      <c r="N162" s="1"/>
    </row>
    <row r="163" spans="2:14">
      <c r="B163" s="1"/>
      <c r="C163" s="1"/>
      <c r="D163" s="1"/>
      <c r="E163" s="1"/>
      <c r="F163" s="1"/>
      <c r="G163" s="1"/>
      <c r="H163" s="1"/>
      <c r="I163" s="1"/>
      <c r="J163" s="1"/>
      <c r="K163" s="1"/>
      <c r="L163" s="1"/>
      <c r="M163" s="1"/>
      <c r="N163" s="1"/>
    </row>
    <row r="164" spans="2:14">
      <c r="B164" s="1"/>
      <c r="C164" s="1"/>
      <c r="D164" s="1"/>
      <c r="E164" s="1"/>
      <c r="F164" s="1"/>
      <c r="G164" s="1"/>
      <c r="H164" s="1"/>
      <c r="I164" s="1"/>
      <c r="J164" s="1"/>
      <c r="K164" s="1"/>
      <c r="L164" s="1"/>
      <c r="M164" s="1"/>
      <c r="N164" s="1"/>
    </row>
    <row r="165" spans="2:14">
      <c r="B165" s="1"/>
      <c r="C165" s="1"/>
      <c r="D165" s="1"/>
      <c r="E165" s="1"/>
      <c r="F165" s="1"/>
      <c r="G165" s="1"/>
      <c r="H165" s="1"/>
      <c r="I165" s="1"/>
      <c r="J165" s="1"/>
      <c r="K165" s="1"/>
      <c r="L165" s="1"/>
      <c r="M165" s="1"/>
      <c r="N165" s="1"/>
    </row>
    <row r="166" spans="2:14">
      <c r="B166" s="1"/>
      <c r="C166" s="1"/>
      <c r="D166" s="1"/>
      <c r="E166" s="1"/>
      <c r="F166" s="1"/>
      <c r="G166" s="1"/>
      <c r="H166" s="1"/>
      <c r="I166" s="1"/>
      <c r="J166" s="1"/>
      <c r="K166" s="1"/>
      <c r="L166" s="1"/>
      <c r="M166" s="1"/>
      <c r="N166" s="1"/>
    </row>
    <row r="167" spans="2:14">
      <c r="B167" s="1"/>
      <c r="C167" s="1"/>
      <c r="D167" s="1"/>
      <c r="E167" s="1"/>
      <c r="F167" s="1"/>
      <c r="G167" s="1"/>
      <c r="H167" s="1"/>
      <c r="I167" s="1"/>
      <c r="J167" s="1"/>
      <c r="K167" s="1"/>
      <c r="L167" s="1"/>
      <c r="M167" s="1"/>
      <c r="N167" s="1"/>
    </row>
    <row r="168" spans="2:14">
      <c r="B168" s="1"/>
      <c r="C168" s="1"/>
      <c r="D168" s="1"/>
      <c r="E168" s="1"/>
      <c r="F168" s="1"/>
      <c r="G168" s="1"/>
      <c r="H168" s="1"/>
      <c r="I168" s="1"/>
      <c r="J168" s="1"/>
      <c r="K168" s="1"/>
      <c r="L168" s="1"/>
      <c r="M168" s="1"/>
      <c r="N168" s="1"/>
    </row>
    <row r="169" spans="2:14">
      <c r="B169" s="1"/>
      <c r="C169" s="1"/>
      <c r="D169" s="1"/>
      <c r="E169" s="1"/>
      <c r="F169" s="1"/>
      <c r="G169" s="1"/>
      <c r="H169" s="1"/>
      <c r="I169" s="1"/>
      <c r="J169" s="1"/>
      <c r="K169" s="1"/>
      <c r="L169" s="1"/>
      <c r="M169" s="1"/>
      <c r="N169" s="1"/>
    </row>
    <row r="170" spans="2:14">
      <c r="B170" s="1"/>
      <c r="C170" s="1"/>
      <c r="D170" s="1"/>
      <c r="E170" s="1"/>
      <c r="F170" s="1"/>
      <c r="G170" s="1"/>
      <c r="H170" s="1"/>
      <c r="I170" s="1"/>
      <c r="J170" s="1"/>
      <c r="K170" s="1"/>
      <c r="L170" s="1"/>
      <c r="M170" s="1"/>
      <c r="N170" s="1"/>
    </row>
    <row r="171" spans="2:14">
      <c r="B171" s="1"/>
      <c r="C171" s="1"/>
      <c r="D171" s="1"/>
      <c r="E171" s="1"/>
      <c r="F171" s="1"/>
      <c r="G171" s="1"/>
      <c r="H171" s="1"/>
      <c r="I171" s="1"/>
      <c r="J171" s="1"/>
      <c r="K171" s="1"/>
      <c r="L171" s="1"/>
      <c r="M171" s="1"/>
      <c r="N171" s="1"/>
    </row>
    <row r="172" spans="2:14">
      <c r="B172" s="1"/>
      <c r="C172" s="1"/>
      <c r="D172" s="1"/>
      <c r="E172" s="1"/>
      <c r="F172" s="1"/>
      <c r="G172" s="1"/>
      <c r="H172" s="1"/>
      <c r="I172" s="1"/>
      <c r="J172" s="1"/>
      <c r="K172" s="1"/>
      <c r="L172" s="1"/>
      <c r="M172" s="1"/>
      <c r="N172" s="1"/>
    </row>
    <row r="173" spans="2:14">
      <c r="B173" s="1"/>
      <c r="C173" s="1"/>
      <c r="D173" s="1"/>
      <c r="E173" s="1"/>
      <c r="F173" s="1"/>
      <c r="G173" s="1"/>
      <c r="H173" s="1"/>
      <c r="I173" s="1"/>
      <c r="J173" s="1"/>
      <c r="K173" s="1"/>
      <c r="L173" s="1"/>
      <c r="M173" s="1"/>
      <c r="N173" s="1"/>
    </row>
    <row r="174" spans="2:14">
      <c r="B174" s="1"/>
      <c r="C174" s="1"/>
      <c r="D174" s="1"/>
      <c r="E174" s="1"/>
      <c r="F174" s="1"/>
      <c r="G174" s="1"/>
      <c r="H174" s="1"/>
      <c r="I174" s="1"/>
      <c r="J174" s="1"/>
      <c r="K174" s="1"/>
      <c r="L174" s="1"/>
      <c r="M174" s="1"/>
      <c r="N174" s="1"/>
    </row>
    <row r="175" spans="2:14">
      <c r="B175" s="1"/>
      <c r="C175" s="1"/>
      <c r="D175" s="1"/>
      <c r="E175" s="1"/>
      <c r="F175" s="1"/>
      <c r="G175" s="1"/>
      <c r="H175" s="1"/>
      <c r="I175" s="1"/>
      <c r="J175" s="1"/>
      <c r="K175" s="1"/>
      <c r="L175" s="1"/>
      <c r="M175" s="1"/>
      <c r="N175" s="1"/>
    </row>
    <row r="176" spans="2:14">
      <c r="B176" s="1"/>
      <c r="C176" s="1"/>
      <c r="D176" s="1"/>
      <c r="E176" s="1"/>
      <c r="F176" s="1"/>
      <c r="G176" s="1"/>
      <c r="H176" s="1"/>
      <c r="I176" s="1"/>
      <c r="J176" s="1"/>
      <c r="K176" s="1"/>
      <c r="L176" s="1"/>
      <c r="M176" s="1"/>
      <c r="N176" s="1"/>
    </row>
    <row r="177" spans="2:14">
      <c r="B177" s="1"/>
      <c r="C177" s="1"/>
      <c r="D177" s="1"/>
      <c r="E177" s="1"/>
      <c r="F177" s="1"/>
      <c r="G177" s="1"/>
      <c r="H177" s="1"/>
      <c r="I177" s="1"/>
      <c r="J177" s="1"/>
      <c r="K177" s="1"/>
      <c r="L177" s="1"/>
      <c r="M177" s="1"/>
      <c r="N177" s="1"/>
    </row>
    <row r="178" spans="2:14">
      <c r="B178" s="1"/>
      <c r="C178" s="1"/>
      <c r="D178" s="1"/>
      <c r="E178" s="1"/>
      <c r="F178" s="1"/>
      <c r="G178" s="1"/>
      <c r="H178" s="1"/>
      <c r="I178" s="1"/>
      <c r="J178" s="1"/>
      <c r="K178" s="1"/>
      <c r="L178" s="1"/>
      <c r="M178" s="1"/>
      <c r="N178" s="1"/>
    </row>
    <row r="179" spans="2:14">
      <c r="B179" s="1"/>
      <c r="C179" s="1"/>
      <c r="D179" s="1"/>
      <c r="E179" s="1"/>
      <c r="F179" s="1"/>
      <c r="G179" s="1"/>
      <c r="H179" s="1"/>
      <c r="I179" s="1"/>
      <c r="J179" s="1"/>
      <c r="K179" s="1"/>
      <c r="L179" s="1"/>
      <c r="M179" s="1"/>
      <c r="N179" s="1"/>
    </row>
    <row r="180" spans="2:14">
      <c r="B180" s="1"/>
      <c r="C180" s="1"/>
      <c r="D180" s="1"/>
      <c r="E180" s="1"/>
      <c r="F180" s="1"/>
      <c r="G180" s="1"/>
      <c r="H180" s="1"/>
      <c r="I180" s="1"/>
      <c r="J180" s="1"/>
      <c r="K180" s="1"/>
      <c r="L180" s="1"/>
      <c r="M180" s="1"/>
      <c r="N180" s="1"/>
    </row>
    <row r="181" spans="2:14">
      <c r="B181" s="1"/>
      <c r="C181" s="1"/>
      <c r="D181" s="1"/>
      <c r="E181" s="1"/>
      <c r="F181" s="1"/>
      <c r="G181" s="1"/>
      <c r="H181" s="1"/>
      <c r="I181" s="1"/>
      <c r="J181" s="1"/>
      <c r="K181" s="1"/>
      <c r="L181" s="1"/>
      <c r="M181" s="1"/>
      <c r="N181" s="1"/>
    </row>
    <row r="182" spans="2:14">
      <c r="B182" s="1"/>
      <c r="C182" s="1"/>
      <c r="D182" s="1"/>
      <c r="E182" s="1"/>
      <c r="F182" s="1"/>
      <c r="G182" s="1"/>
      <c r="H182" s="1"/>
      <c r="I182" s="1"/>
      <c r="J182" s="1"/>
      <c r="K182" s="1"/>
      <c r="L182" s="1"/>
      <c r="M182" s="1"/>
      <c r="N182" s="1"/>
    </row>
    <row r="183" spans="2:14">
      <c r="B183" s="1"/>
      <c r="C183" s="1"/>
      <c r="D183" s="1"/>
      <c r="E183" s="1"/>
      <c r="F183" s="1"/>
      <c r="G183" s="1"/>
      <c r="H183" s="1"/>
      <c r="I183" s="1"/>
      <c r="J183" s="1"/>
      <c r="K183" s="1"/>
      <c r="L183" s="1"/>
      <c r="M183" s="1"/>
      <c r="N183" s="1"/>
    </row>
    <row r="184" spans="2:14">
      <c r="B184" s="1"/>
      <c r="C184" s="1"/>
      <c r="D184" s="1"/>
      <c r="E184" s="1"/>
      <c r="F184" s="1"/>
      <c r="G184" s="1"/>
      <c r="H184" s="1"/>
      <c r="I184" s="1"/>
      <c r="J184" s="1"/>
      <c r="K184" s="1"/>
      <c r="L184" s="1"/>
      <c r="M184" s="1"/>
      <c r="N184" s="1"/>
    </row>
    <row r="185" spans="2:14">
      <c r="B185" s="1"/>
      <c r="C185" s="1"/>
      <c r="D185" s="1"/>
      <c r="E185" s="1"/>
      <c r="F185" s="1"/>
      <c r="G185" s="1"/>
      <c r="H185" s="1"/>
      <c r="I185" s="1"/>
      <c r="J185" s="1"/>
      <c r="K185" s="1"/>
      <c r="L185" s="1"/>
      <c r="M185" s="1"/>
      <c r="N185" s="1"/>
    </row>
    <row r="186" spans="2:14">
      <c r="B186" s="1"/>
      <c r="C186" s="1"/>
      <c r="D186" s="1"/>
      <c r="E186" s="1"/>
      <c r="F186" s="1"/>
      <c r="G186" s="1"/>
      <c r="H186" s="1"/>
      <c r="I186" s="1"/>
      <c r="J186" s="1"/>
      <c r="K186" s="1"/>
      <c r="L186" s="1"/>
      <c r="M186" s="1"/>
      <c r="N186" s="1"/>
    </row>
    <row r="187" spans="2:14">
      <c r="B187" s="1"/>
      <c r="C187" s="1"/>
      <c r="D187" s="1"/>
      <c r="E187" s="1"/>
      <c r="F187" s="1"/>
      <c r="G187" s="1"/>
      <c r="H187" s="1"/>
      <c r="I187" s="1"/>
      <c r="J187" s="1"/>
      <c r="K187" s="1"/>
      <c r="L187" s="1"/>
      <c r="M187" s="1"/>
      <c r="N187" s="1"/>
    </row>
    <row r="188" spans="2:14">
      <c r="B188" s="1"/>
      <c r="C188" s="1"/>
      <c r="D188" s="1"/>
      <c r="E188" s="1"/>
      <c r="F188" s="1"/>
      <c r="G188" s="1"/>
      <c r="H188" s="1"/>
      <c r="I188" s="1"/>
      <c r="J188" s="1"/>
      <c r="K188" s="1"/>
      <c r="L188" s="1"/>
      <c r="M188" s="1"/>
      <c r="N188" s="1"/>
    </row>
    <row r="189" spans="2:14">
      <c r="B189" s="1"/>
      <c r="C189" s="1"/>
      <c r="D189" s="1"/>
      <c r="E189" s="1"/>
      <c r="F189" s="1"/>
      <c r="G189" s="1"/>
      <c r="H189" s="1"/>
      <c r="I189" s="1"/>
      <c r="J189" s="1"/>
      <c r="K189" s="1"/>
      <c r="L189" s="1"/>
      <c r="M189" s="1"/>
      <c r="N189" s="1"/>
    </row>
    <row r="190" spans="2:14">
      <c r="B190" s="1"/>
      <c r="C190" s="1"/>
      <c r="D190" s="1"/>
      <c r="E190" s="1"/>
      <c r="F190" s="1"/>
      <c r="G190" s="1"/>
      <c r="H190" s="1"/>
      <c r="I190" s="1"/>
      <c r="J190" s="1"/>
      <c r="K190" s="1"/>
      <c r="L190" s="1"/>
      <c r="M190" s="1"/>
      <c r="N190" s="1"/>
    </row>
    <row r="191" spans="2:14">
      <c r="B191" s="1"/>
      <c r="C191" s="1"/>
      <c r="D191" s="1"/>
      <c r="E191" s="1"/>
      <c r="F191" s="1"/>
      <c r="G191" s="1"/>
      <c r="H191" s="1"/>
      <c r="I191" s="1"/>
      <c r="J191" s="1"/>
      <c r="K191" s="1"/>
      <c r="L191" s="1"/>
      <c r="M191" s="1"/>
      <c r="N191" s="1"/>
    </row>
    <row r="192" spans="2:14">
      <c r="B192" s="1"/>
      <c r="C192" s="1"/>
      <c r="D192" s="1"/>
      <c r="E192" s="1"/>
      <c r="F192" s="1"/>
      <c r="G192" s="1"/>
      <c r="H192" s="1"/>
      <c r="I192" s="1"/>
      <c r="J192" s="1"/>
      <c r="K192" s="1"/>
      <c r="L192" s="1"/>
      <c r="M192" s="1"/>
      <c r="N192" s="1"/>
    </row>
    <row r="193" spans="2:14">
      <c r="B193" s="1"/>
      <c r="C193" s="1"/>
      <c r="D193" s="1"/>
      <c r="E193" s="1"/>
      <c r="F193" s="1"/>
      <c r="G193" s="1"/>
      <c r="H193" s="1"/>
      <c r="I193" s="1"/>
      <c r="J193" s="1"/>
      <c r="K193" s="1"/>
      <c r="L193" s="1"/>
      <c r="M193" s="1"/>
      <c r="N193" s="1"/>
    </row>
    <row r="194" spans="2:14">
      <c r="B194" s="1"/>
      <c r="C194" s="1"/>
      <c r="D194" s="1"/>
      <c r="E194" s="1"/>
      <c r="F194" s="1"/>
      <c r="G194" s="1"/>
      <c r="H194" s="1"/>
      <c r="I194" s="1"/>
      <c r="J194" s="1"/>
      <c r="K194" s="1"/>
      <c r="L194" s="1"/>
      <c r="M194" s="1"/>
      <c r="N194" s="1"/>
    </row>
    <row r="195" spans="2:14">
      <c r="B195" s="1"/>
      <c r="C195" s="1"/>
      <c r="D195" s="1"/>
      <c r="E195" s="1"/>
      <c r="F195" s="1"/>
      <c r="G195" s="1"/>
      <c r="H195" s="1"/>
      <c r="I195" s="1"/>
      <c r="J195" s="1"/>
      <c r="K195" s="1"/>
      <c r="L195" s="1"/>
      <c r="M195" s="1"/>
      <c r="N195" s="1"/>
    </row>
    <row r="196" spans="2:14">
      <c r="B196" s="1"/>
      <c r="C196" s="1"/>
      <c r="D196" s="1"/>
      <c r="E196" s="1"/>
      <c r="F196" s="1"/>
      <c r="G196" s="1"/>
      <c r="H196" s="1"/>
      <c r="I196" s="1"/>
      <c r="J196" s="1"/>
      <c r="K196" s="1"/>
      <c r="L196" s="1"/>
      <c r="M196" s="1"/>
      <c r="N196" s="1"/>
    </row>
    <row r="197" spans="2:14">
      <c r="B197" s="1"/>
      <c r="C197" s="1"/>
      <c r="D197" s="1"/>
      <c r="E197" s="1"/>
      <c r="F197" s="1"/>
      <c r="G197" s="1"/>
      <c r="H197" s="1"/>
      <c r="I197" s="1"/>
      <c r="J197" s="1"/>
      <c r="K197" s="1"/>
      <c r="L197" s="1"/>
      <c r="M197" s="1"/>
      <c r="N197" s="1"/>
    </row>
    <row r="198" spans="2:14">
      <c r="B198" s="1"/>
      <c r="C198" s="1"/>
      <c r="D198" s="1"/>
      <c r="E198" s="1"/>
      <c r="F198" s="1"/>
      <c r="G198" s="1"/>
      <c r="H198" s="1"/>
      <c r="I198" s="1"/>
      <c r="J198" s="1"/>
      <c r="K198" s="1"/>
      <c r="L198" s="1"/>
      <c r="M198" s="1"/>
      <c r="N198" s="1"/>
    </row>
    <row r="199" spans="2:14">
      <c r="B199" s="1"/>
      <c r="C199" s="1"/>
      <c r="D199" s="1"/>
      <c r="E199" s="1"/>
      <c r="F199" s="1"/>
      <c r="G199" s="1"/>
      <c r="H199" s="1"/>
      <c r="I199" s="1"/>
      <c r="J199" s="1"/>
      <c r="K199" s="1"/>
      <c r="L199" s="1"/>
      <c r="M199" s="1"/>
      <c r="N199" s="1"/>
    </row>
    <row r="200" spans="2:14">
      <c r="B200" s="1"/>
      <c r="C200" s="1"/>
      <c r="D200" s="1"/>
      <c r="E200" s="1"/>
      <c r="F200" s="1"/>
      <c r="G200" s="1"/>
      <c r="H200" s="1"/>
      <c r="I200" s="1"/>
      <c r="J200" s="1"/>
      <c r="K200" s="1"/>
      <c r="L200" s="1"/>
      <c r="M200" s="1"/>
      <c r="N200" s="1"/>
    </row>
    <row r="201" spans="2:14">
      <c r="B201" s="1"/>
      <c r="C201" s="1"/>
      <c r="D201" s="1"/>
      <c r="E201" s="1"/>
      <c r="F201" s="1"/>
      <c r="G201" s="1"/>
      <c r="H201" s="1"/>
      <c r="I201" s="1"/>
      <c r="J201" s="1"/>
      <c r="K201" s="1"/>
      <c r="L201" s="1"/>
      <c r="M201" s="1"/>
      <c r="N201" s="1"/>
    </row>
    <row r="202" spans="2:14">
      <c r="B202" s="1"/>
      <c r="C202" s="1"/>
      <c r="D202" s="1"/>
      <c r="E202" s="1"/>
      <c r="F202" s="1"/>
      <c r="G202" s="1"/>
      <c r="H202" s="1"/>
      <c r="I202" s="1"/>
      <c r="J202" s="1"/>
      <c r="K202" s="1"/>
      <c r="L202" s="1"/>
      <c r="M202" s="1"/>
      <c r="N202" s="1"/>
    </row>
    <row r="203" spans="2:14">
      <c r="B203" s="1"/>
      <c r="C203" s="1"/>
      <c r="D203" s="1"/>
      <c r="E203" s="1"/>
      <c r="F203" s="1"/>
      <c r="G203" s="1"/>
      <c r="H203" s="1"/>
      <c r="I203" s="1"/>
      <c r="J203" s="1"/>
      <c r="K203" s="1"/>
      <c r="L203" s="1"/>
      <c r="M203" s="1"/>
      <c r="N203" s="1"/>
    </row>
    <row r="204" spans="2:14">
      <c r="B204" s="1"/>
      <c r="C204" s="1"/>
      <c r="D204" s="1"/>
      <c r="E204" s="1"/>
      <c r="F204" s="1"/>
      <c r="G204" s="1"/>
      <c r="H204" s="1"/>
      <c r="I204" s="1"/>
      <c r="J204" s="1"/>
      <c r="K204" s="1"/>
      <c r="L204" s="1"/>
      <c r="M204" s="1"/>
      <c r="N204" s="1"/>
    </row>
    <row r="205" spans="2:14">
      <c r="B205" s="1"/>
      <c r="C205" s="1"/>
      <c r="D205" s="1"/>
      <c r="E205" s="1"/>
      <c r="F205" s="1"/>
      <c r="G205" s="1"/>
      <c r="H205" s="1"/>
      <c r="I205" s="1"/>
      <c r="J205" s="1"/>
      <c r="K205" s="1"/>
      <c r="L205" s="1"/>
      <c r="M205" s="1"/>
      <c r="N205" s="1"/>
    </row>
    <row r="206" spans="2:14">
      <c r="B206" s="1"/>
      <c r="C206" s="1"/>
      <c r="D206" s="1"/>
      <c r="E206" s="1"/>
      <c r="F206" s="1"/>
      <c r="G206" s="1"/>
      <c r="H206" s="1"/>
      <c r="I206" s="1"/>
      <c r="J206" s="1"/>
      <c r="K206" s="1"/>
      <c r="L206" s="1"/>
      <c r="M206" s="1"/>
      <c r="N206" s="1"/>
    </row>
    <row r="207" spans="2:14">
      <c r="B207" s="1"/>
      <c r="C207" s="1"/>
      <c r="D207" s="1"/>
      <c r="E207" s="1"/>
      <c r="F207" s="1"/>
      <c r="G207" s="1"/>
      <c r="H207" s="1"/>
      <c r="I207" s="1"/>
      <c r="J207" s="1"/>
      <c r="K207" s="1"/>
      <c r="L207" s="1"/>
      <c r="M207" s="1"/>
      <c r="N207" s="1"/>
    </row>
    <row r="208" spans="2:14">
      <c r="B208" s="1"/>
      <c r="C208" s="1"/>
      <c r="D208" s="1"/>
      <c r="E208" s="1"/>
      <c r="F208" s="1"/>
      <c r="G208" s="1"/>
      <c r="H208" s="1"/>
      <c r="I208" s="1"/>
      <c r="J208" s="1"/>
      <c r="K208" s="1"/>
      <c r="L208" s="1"/>
      <c r="M208" s="1"/>
      <c r="N208" s="1"/>
    </row>
    <row r="209" spans="2:14">
      <c r="B209" s="1"/>
      <c r="C209" s="1"/>
      <c r="D209" s="1"/>
      <c r="E209" s="1"/>
      <c r="F209" s="1"/>
      <c r="G209" s="1"/>
      <c r="H209" s="1"/>
      <c r="I209" s="1"/>
      <c r="J209" s="1"/>
      <c r="K209" s="1"/>
      <c r="L209" s="1"/>
      <c r="M209" s="1"/>
      <c r="N209" s="1"/>
    </row>
    <row r="210" spans="2:14">
      <c r="B210" s="1"/>
      <c r="C210" s="1"/>
      <c r="D210" s="1"/>
      <c r="E210" s="1"/>
      <c r="F210" s="1"/>
      <c r="G210" s="1"/>
      <c r="H210" s="1"/>
      <c r="I210" s="1"/>
      <c r="J210" s="1"/>
      <c r="K210" s="1"/>
      <c r="L210" s="1"/>
      <c r="M210" s="1"/>
      <c r="N210" s="1"/>
    </row>
    <row r="211" spans="2:14">
      <c r="B211" s="1"/>
      <c r="C211" s="1"/>
      <c r="D211" s="1"/>
      <c r="E211" s="1"/>
      <c r="F211" s="1"/>
      <c r="G211" s="1"/>
      <c r="H211" s="1"/>
      <c r="I211" s="1"/>
      <c r="J211" s="1"/>
      <c r="K211" s="1"/>
      <c r="L211" s="1"/>
      <c r="M211" s="1"/>
      <c r="N211" s="1"/>
    </row>
    <row r="212" spans="2:14">
      <c r="B212" s="1"/>
      <c r="C212" s="1"/>
      <c r="D212" s="1"/>
      <c r="E212" s="1"/>
      <c r="F212" s="1"/>
      <c r="G212" s="1"/>
      <c r="H212" s="1"/>
      <c r="I212" s="1"/>
      <c r="J212" s="1"/>
      <c r="K212" s="1"/>
      <c r="L212" s="1"/>
      <c r="M212" s="1"/>
      <c r="N212" s="1"/>
    </row>
    <row r="213" spans="2:14">
      <c r="B213" s="1"/>
      <c r="C213" s="1"/>
      <c r="D213" s="1"/>
      <c r="E213" s="1"/>
      <c r="F213" s="1"/>
      <c r="G213" s="1"/>
      <c r="H213" s="1"/>
      <c r="I213" s="1"/>
      <c r="J213" s="1"/>
      <c r="K213" s="1"/>
      <c r="L213" s="1"/>
      <c r="M213" s="1"/>
      <c r="N213" s="1"/>
    </row>
    <row r="214" spans="2:14">
      <c r="B214" s="1"/>
      <c r="C214" s="1"/>
      <c r="D214" s="1"/>
      <c r="E214" s="1"/>
      <c r="F214" s="1"/>
      <c r="G214" s="1"/>
      <c r="H214" s="1"/>
      <c r="I214" s="1"/>
      <c r="J214" s="1"/>
      <c r="K214" s="1"/>
      <c r="L214" s="1"/>
      <c r="M214" s="1"/>
      <c r="N214" s="1"/>
    </row>
    <row r="215" spans="2:14">
      <c r="B215" s="1"/>
      <c r="C215" s="1"/>
      <c r="D215" s="1"/>
      <c r="E215" s="1"/>
      <c r="F215" s="1"/>
      <c r="G215" s="1"/>
      <c r="H215" s="1"/>
      <c r="I215" s="1"/>
      <c r="J215" s="1"/>
      <c r="K215" s="1"/>
      <c r="L215" s="1"/>
      <c r="M215" s="1"/>
      <c r="N215" s="1"/>
    </row>
    <row r="216" spans="2:14">
      <c r="B216" s="1"/>
      <c r="C216" s="1"/>
      <c r="D216" s="1"/>
      <c r="E216" s="1"/>
      <c r="F216" s="1"/>
      <c r="G216" s="1"/>
      <c r="H216" s="1"/>
      <c r="I216" s="1"/>
      <c r="J216" s="1"/>
      <c r="K216" s="1"/>
      <c r="L216" s="1"/>
      <c r="M216" s="1"/>
      <c r="N216" s="1"/>
    </row>
    <row r="217" spans="2:14">
      <c r="B217" s="1"/>
      <c r="C217" s="1"/>
      <c r="D217" s="1"/>
      <c r="E217" s="1"/>
      <c r="F217" s="1"/>
      <c r="G217" s="1"/>
      <c r="H217" s="1"/>
      <c r="I217" s="1"/>
      <c r="J217" s="1"/>
      <c r="K217" s="1"/>
      <c r="L217" s="1"/>
      <c r="M217" s="1"/>
      <c r="N217" s="1"/>
    </row>
    <row r="218" spans="2:14">
      <c r="B218" s="1"/>
      <c r="C218" s="1"/>
      <c r="D218" s="1"/>
      <c r="E218" s="1"/>
      <c r="F218" s="1"/>
      <c r="G218" s="1"/>
      <c r="H218" s="1"/>
      <c r="I218" s="1"/>
      <c r="J218" s="1"/>
      <c r="K218" s="1"/>
      <c r="L218" s="1"/>
      <c r="M218" s="1"/>
      <c r="N218" s="1"/>
    </row>
    <row r="219" spans="2:14">
      <c r="B219" s="1"/>
      <c r="C219" s="1"/>
      <c r="D219" s="1"/>
      <c r="E219" s="1"/>
      <c r="F219" s="1"/>
      <c r="G219" s="1"/>
      <c r="H219" s="1"/>
      <c r="I219" s="1"/>
      <c r="J219" s="1"/>
      <c r="K219" s="1"/>
      <c r="L219" s="1"/>
      <c r="M219" s="1"/>
      <c r="N219" s="1"/>
    </row>
    <row r="220" spans="2:14">
      <c r="B220" s="1"/>
      <c r="C220" s="1"/>
      <c r="D220" s="1"/>
      <c r="E220" s="1"/>
      <c r="F220" s="1"/>
      <c r="G220" s="1"/>
      <c r="H220" s="1"/>
      <c r="I220" s="1"/>
      <c r="J220" s="1"/>
      <c r="K220" s="1"/>
      <c r="L220" s="1"/>
      <c r="M220" s="1"/>
      <c r="N220" s="1"/>
    </row>
    <row r="221" spans="2:14">
      <c r="B221" s="1"/>
      <c r="C221" s="1"/>
      <c r="D221" s="1"/>
      <c r="E221" s="1"/>
      <c r="F221" s="1"/>
      <c r="G221" s="1"/>
      <c r="H221" s="1"/>
      <c r="I221" s="1"/>
      <c r="J221" s="1"/>
      <c r="K221" s="1"/>
      <c r="L221" s="1"/>
      <c r="M221" s="1"/>
      <c r="N221" s="1"/>
    </row>
    <row r="222" spans="2:14">
      <c r="B222" s="1"/>
      <c r="C222" s="1"/>
      <c r="D222" s="1"/>
      <c r="E222" s="1"/>
      <c r="F222" s="1"/>
      <c r="G222" s="1"/>
      <c r="H222" s="1"/>
      <c r="I222" s="1"/>
      <c r="J222" s="1"/>
      <c r="K222" s="1"/>
      <c r="L222" s="1"/>
      <c r="M222" s="1"/>
      <c r="N222" s="1"/>
    </row>
    <row r="223" spans="2:14">
      <c r="B223" s="1"/>
      <c r="C223" s="1"/>
      <c r="D223" s="1"/>
      <c r="E223" s="1"/>
      <c r="F223" s="1"/>
      <c r="G223" s="1"/>
      <c r="H223" s="1"/>
      <c r="I223" s="1"/>
      <c r="J223" s="1"/>
      <c r="K223" s="1"/>
      <c r="L223" s="1"/>
      <c r="M223" s="1"/>
      <c r="N223" s="1"/>
    </row>
    <row r="224" spans="2:14">
      <c r="B224" s="1"/>
      <c r="C224" s="1"/>
      <c r="D224" s="1"/>
      <c r="E224" s="1"/>
      <c r="F224" s="1"/>
      <c r="G224" s="1"/>
      <c r="H224" s="1"/>
      <c r="I224" s="1"/>
      <c r="J224" s="1"/>
      <c r="K224" s="1"/>
      <c r="L224" s="1"/>
      <c r="M224" s="1"/>
      <c r="N224" s="1"/>
    </row>
    <row r="225" spans="2:14">
      <c r="B225" s="1"/>
      <c r="C225" s="1"/>
      <c r="D225" s="1"/>
      <c r="E225" s="1"/>
      <c r="F225" s="1"/>
      <c r="G225" s="1"/>
      <c r="H225" s="1"/>
      <c r="I225" s="1"/>
      <c r="J225" s="1"/>
      <c r="K225" s="1"/>
      <c r="L225" s="1"/>
      <c r="M225" s="1"/>
      <c r="N225" s="1"/>
    </row>
    <row r="226" spans="2:14">
      <c r="B226" s="1"/>
      <c r="C226" s="1"/>
      <c r="D226" s="1"/>
      <c r="E226" s="1"/>
      <c r="F226" s="1"/>
      <c r="G226" s="1"/>
      <c r="H226" s="1"/>
      <c r="I226" s="1"/>
      <c r="J226" s="1"/>
      <c r="K226" s="1"/>
      <c r="L226" s="1"/>
      <c r="M226" s="1"/>
      <c r="N226" s="1"/>
    </row>
    <row r="227" spans="2:14">
      <c r="B227" s="1"/>
      <c r="C227" s="1"/>
      <c r="D227" s="1"/>
      <c r="E227" s="1"/>
      <c r="F227" s="1"/>
      <c r="G227" s="1"/>
      <c r="H227" s="1"/>
      <c r="I227" s="1"/>
      <c r="J227" s="1"/>
      <c r="K227" s="1"/>
      <c r="L227" s="1"/>
      <c r="M227" s="1"/>
      <c r="N227" s="1"/>
    </row>
    <row r="228" spans="2:14">
      <c r="B228" s="1"/>
      <c r="C228" s="1"/>
      <c r="D228" s="1"/>
      <c r="E228" s="1"/>
      <c r="F228" s="1"/>
      <c r="G228" s="1"/>
      <c r="H228" s="1"/>
      <c r="I228" s="1"/>
      <c r="J228" s="1"/>
      <c r="K228" s="1"/>
      <c r="L228" s="1"/>
      <c r="M228" s="1"/>
      <c r="N228" s="1"/>
    </row>
    <row r="229" spans="2:14">
      <c r="B229" s="1"/>
      <c r="C229" s="1"/>
      <c r="D229" s="1"/>
      <c r="E229" s="1"/>
      <c r="F229" s="1"/>
      <c r="G229" s="1"/>
      <c r="H229" s="1"/>
      <c r="I229" s="1"/>
      <c r="J229" s="1"/>
      <c r="K229" s="1"/>
      <c r="L229" s="1"/>
      <c r="M229" s="1"/>
      <c r="N229" s="1"/>
    </row>
    <row r="230" spans="2:14">
      <c r="B230" s="1"/>
      <c r="C230" s="1"/>
      <c r="D230" s="1"/>
      <c r="E230" s="1"/>
      <c r="F230" s="1"/>
      <c r="G230" s="1"/>
      <c r="H230" s="1"/>
      <c r="I230" s="1"/>
      <c r="J230" s="1"/>
      <c r="K230" s="1"/>
      <c r="L230" s="1"/>
      <c r="M230" s="1"/>
      <c r="N230" s="1"/>
    </row>
    <row r="231" spans="2:14">
      <c r="B231" s="1"/>
      <c r="C231" s="1"/>
      <c r="D231" s="1"/>
      <c r="E231" s="1"/>
      <c r="F231" s="1"/>
      <c r="G231" s="1"/>
      <c r="H231" s="1"/>
      <c r="I231" s="1"/>
      <c r="J231" s="1"/>
      <c r="K231" s="1"/>
      <c r="L231" s="1"/>
      <c r="M231" s="1"/>
      <c r="N231" s="1"/>
    </row>
    <row r="232" spans="2:14">
      <c r="B232" s="1"/>
      <c r="C232" s="1"/>
      <c r="D232" s="1"/>
      <c r="E232" s="1"/>
      <c r="F232" s="1"/>
      <c r="G232" s="1"/>
      <c r="H232" s="1"/>
      <c r="I232" s="1"/>
      <c r="J232" s="1"/>
      <c r="K232" s="1"/>
      <c r="L232" s="1"/>
      <c r="M232" s="1"/>
      <c r="N232" s="1"/>
    </row>
    <row r="233" spans="2:14">
      <c r="B233" s="1"/>
      <c r="C233" s="1"/>
      <c r="D233" s="1"/>
      <c r="E233" s="1"/>
      <c r="F233" s="1"/>
      <c r="G233" s="1"/>
      <c r="H233" s="1"/>
      <c r="I233" s="1"/>
      <c r="J233" s="1"/>
      <c r="K233" s="1"/>
      <c r="L233" s="1"/>
      <c r="M233" s="1"/>
      <c r="N233" s="1"/>
    </row>
    <row r="234" spans="2:14">
      <c r="B234" s="1"/>
      <c r="C234" s="1"/>
      <c r="D234" s="1"/>
      <c r="E234" s="1"/>
      <c r="F234" s="1"/>
      <c r="G234" s="1"/>
      <c r="H234" s="1"/>
      <c r="I234" s="1"/>
      <c r="J234" s="1"/>
      <c r="K234" s="1"/>
      <c r="L234" s="1"/>
      <c r="M234" s="1"/>
      <c r="N234" s="1"/>
    </row>
    <row r="235" spans="2:14">
      <c r="B235" s="1"/>
      <c r="C235" s="1"/>
      <c r="D235" s="1"/>
      <c r="E235" s="1"/>
      <c r="F235" s="1"/>
      <c r="G235" s="1"/>
      <c r="H235" s="1"/>
      <c r="I235" s="1"/>
      <c r="J235" s="1"/>
      <c r="K235" s="1"/>
      <c r="L235" s="1"/>
      <c r="M235" s="1"/>
      <c r="N235" s="1"/>
    </row>
    <row r="236" spans="2:14">
      <c r="B236" s="1"/>
      <c r="C236" s="1"/>
      <c r="D236" s="1"/>
      <c r="E236" s="1"/>
      <c r="F236" s="1"/>
      <c r="G236" s="1"/>
      <c r="H236" s="1"/>
      <c r="I236" s="1"/>
      <c r="J236" s="1"/>
      <c r="K236" s="1"/>
      <c r="L236" s="1"/>
      <c r="M236" s="1"/>
      <c r="N236" s="1"/>
    </row>
    <row r="237" spans="2:14">
      <c r="B237" s="1"/>
      <c r="C237" s="1"/>
      <c r="D237" s="1"/>
      <c r="E237" s="1"/>
      <c r="F237" s="1"/>
      <c r="G237" s="1"/>
      <c r="H237" s="1"/>
      <c r="I237" s="1"/>
      <c r="J237" s="1"/>
      <c r="K237" s="1"/>
      <c r="L237" s="1"/>
      <c r="M237" s="1"/>
      <c r="N237" s="1"/>
    </row>
    <row r="238" spans="2:14">
      <c r="B238" s="1"/>
      <c r="C238" s="1"/>
      <c r="D238" s="1"/>
      <c r="E238" s="1"/>
      <c r="F238" s="1"/>
      <c r="G238" s="1"/>
      <c r="H238" s="1"/>
      <c r="I238" s="1"/>
      <c r="J238" s="1"/>
      <c r="K238" s="1"/>
      <c r="L238" s="1"/>
      <c r="M238" s="1"/>
      <c r="N238" s="1"/>
    </row>
    <row r="239" spans="2:14">
      <c r="B239" s="1"/>
      <c r="C239" s="1"/>
      <c r="D239" s="1"/>
      <c r="E239" s="1"/>
      <c r="F239" s="1"/>
      <c r="G239" s="1"/>
      <c r="H239" s="1"/>
      <c r="I239" s="1"/>
      <c r="J239" s="1"/>
      <c r="K239" s="1"/>
      <c r="L239" s="1"/>
      <c r="M239" s="1"/>
      <c r="N239" s="1"/>
    </row>
    <row r="240" spans="2:14">
      <c r="B240" s="1"/>
      <c r="C240" s="1"/>
      <c r="D240" s="1"/>
      <c r="E240" s="1"/>
      <c r="F240" s="1"/>
      <c r="G240" s="1"/>
      <c r="H240" s="1"/>
      <c r="I240" s="1"/>
      <c r="J240" s="1"/>
      <c r="K240" s="1"/>
      <c r="L240" s="1"/>
      <c r="M240" s="1"/>
      <c r="N240" s="1"/>
    </row>
    <row r="241" spans="2:14">
      <c r="B241" s="1"/>
      <c r="C241" s="1"/>
      <c r="D241" s="1"/>
      <c r="E241" s="1"/>
      <c r="F241" s="1"/>
      <c r="G241" s="1"/>
      <c r="H241" s="1"/>
      <c r="I241" s="1"/>
      <c r="J241" s="1"/>
      <c r="K241" s="1"/>
      <c r="L241" s="1"/>
      <c r="M241" s="1"/>
      <c r="N241" s="1"/>
    </row>
    <row r="242" spans="2:14">
      <c r="B242" s="1"/>
      <c r="C242" s="1"/>
      <c r="D242" s="1"/>
      <c r="E242" s="1"/>
      <c r="F242" s="1"/>
      <c r="G242" s="1"/>
      <c r="H242" s="1"/>
      <c r="I242" s="1"/>
      <c r="J242" s="1"/>
      <c r="K242" s="1"/>
      <c r="L242" s="1"/>
      <c r="M242" s="1"/>
      <c r="N242" s="1"/>
    </row>
    <row r="243" spans="2:14">
      <c r="B243" s="1"/>
      <c r="C243" s="1"/>
      <c r="D243" s="1"/>
      <c r="E243" s="1"/>
      <c r="F243" s="1"/>
      <c r="G243" s="1"/>
      <c r="H243" s="1"/>
      <c r="I243" s="1"/>
      <c r="J243" s="1"/>
      <c r="K243" s="1"/>
      <c r="L243" s="1"/>
      <c r="M243" s="1"/>
      <c r="N243" s="1"/>
    </row>
    <row r="244" spans="2:14">
      <c r="B244" s="1"/>
      <c r="C244" s="1"/>
      <c r="D244" s="1"/>
      <c r="E244" s="1"/>
      <c r="F244" s="1"/>
      <c r="G244" s="1"/>
      <c r="H244" s="1"/>
      <c r="I244" s="1"/>
      <c r="J244" s="1"/>
      <c r="K244" s="1"/>
      <c r="L244" s="1"/>
      <c r="M244" s="1"/>
      <c r="N244" s="1"/>
    </row>
    <row r="245" spans="2:14">
      <c r="B245" s="1"/>
      <c r="C245" s="1"/>
      <c r="D245" s="1"/>
      <c r="E245" s="1"/>
      <c r="F245" s="1"/>
      <c r="G245" s="1"/>
      <c r="H245" s="1"/>
      <c r="I245" s="1"/>
      <c r="J245" s="1"/>
      <c r="K245" s="1"/>
      <c r="L245" s="1"/>
      <c r="M245" s="1"/>
      <c r="N245" s="1"/>
    </row>
    <row r="246" spans="2:14">
      <c r="B246" s="1"/>
      <c r="C246" s="1"/>
      <c r="D246" s="1"/>
      <c r="E246" s="1"/>
      <c r="F246" s="1"/>
      <c r="G246" s="1"/>
      <c r="H246" s="1"/>
      <c r="I246" s="1"/>
      <c r="J246" s="1"/>
      <c r="K246" s="1"/>
      <c r="L246" s="1"/>
      <c r="M246" s="1"/>
      <c r="N246" s="1"/>
    </row>
    <row r="247" spans="2:14">
      <c r="B247" s="1"/>
      <c r="C247" s="1"/>
      <c r="D247" s="1"/>
      <c r="E247" s="1"/>
      <c r="F247" s="1"/>
      <c r="G247" s="1"/>
      <c r="H247" s="1"/>
      <c r="I247" s="1"/>
      <c r="J247" s="1"/>
      <c r="K247" s="1"/>
      <c r="L247" s="1"/>
      <c r="M247" s="1"/>
      <c r="N247" s="1"/>
    </row>
    <row r="248" spans="2:14">
      <c r="B248" s="1"/>
      <c r="C248" s="1"/>
      <c r="D248" s="1"/>
      <c r="E248" s="1"/>
      <c r="F248" s="1"/>
      <c r="G248" s="1"/>
      <c r="H248" s="1"/>
      <c r="I248" s="1"/>
      <c r="J248" s="1"/>
      <c r="K248" s="1"/>
      <c r="L248" s="1"/>
      <c r="M248" s="1"/>
      <c r="N248" s="1"/>
    </row>
    <row r="249" spans="2:14">
      <c r="B249" s="1"/>
      <c r="C249" s="1"/>
      <c r="D249" s="1"/>
      <c r="E249" s="1"/>
      <c r="F249" s="1"/>
      <c r="G249" s="1"/>
      <c r="H249" s="1"/>
      <c r="I249" s="1"/>
      <c r="J249" s="1"/>
      <c r="K249" s="1"/>
      <c r="L249" s="1"/>
      <c r="M249" s="1"/>
      <c r="N249" s="1"/>
    </row>
    <row r="250" spans="2:14">
      <c r="B250" s="1"/>
      <c r="C250" s="1"/>
      <c r="D250" s="1"/>
      <c r="E250" s="1"/>
      <c r="F250" s="1"/>
      <c r="G250" s="1"/>
      <c r="H250" s="1"/>
      <c r="I250" s="1"/>
      <c r="J250" s="1"/>
      <c r="K250" s="1"/>
      <c r="L250" s="1"/>
      <c r="M250" s="1"/>
      <c r="N250" s="1"/>
    </row>
    <row r="251" spans="2:14">
      <c r="B251" s="1"/>
      <c r="C251" s="1"/>
      <c r="D251" s="1"/>
      <c r="E251" s="1"/>
      <c r="F251" s="1"/>
      <c r="G251" s="1"/>
      <c r="H251" s="1"/>
      <c r="I251" s="1"/>
      <c r="J251" s="1"/>
      <c r="K251" s="1"/>
      <c r="L251" s="1"/>
      <c r="M251" s="1"/>
      <c r="N251" s="1"/>
    </row>
    <row r="252" spans="2:14">
      <c r="B252" s="1"/>
      <c r="C252" s="1"/>
      <c r="D252" s="1"/>
      <c r="E252" s="1"/>
      <c r="F252" s="1"/>
      <c r="G252" s="1"/>
      <c r="H252" s="1"/>
      <c r="I252" s="1"/>
      <c r="J252" s="1"/>
      <c r="K252" s="1"/>
      <c r="L252" s="1"/>
      <c r="M252" s="1"/>
      <c r="N252" s="1"/>
    </row>
    <row r="253" spans="2:14">
      <c r="B253" s="1"/>
      <c r="C253" s="1"/>
      <c r="D253" s="1"/>
      <c r="E253" s="1"/>
      <c r="F253" s="1"/>
      <c r="G253" s="1"/>
      <c r="H253" s="1"/>
      <c r="I253" s="1"/>
      <c r="J253" s="1"/>
      <c r="K253" s="1"/>
      <c r="L253" s="1"/>
      <c r="M253" s="1"/>
      <c r="N253" s="1"/>
    </row>
    <row r="254" spans="2:14">
      <c r="B254" s="1"/>
      <c r="C254" s="1"/>
      <c r="D254" s="1"/>
      <c r="E254" s="1"/>
      <c r="F254" s="1"/>
      <c r="G254" s="1"/>
      <c r="H254" s="1"/>
      <c r="I254" s="1"/>
      <c r="J254" s="1"/>
      <c r="K254" s="1"/>
      <c r="L254" s="1"/>
      <c r="M254" s="1"/>
      <c r="N254" s="1"/>
    </row>
    <row r="255" spans="2:14">
      <c r="B255" s="1"/>
      <c r="C255" s="1"/>
      <c r="D255" s="1"/>
      <c r="E255" s="1"/>
      <c r="F255" s="1"/>
      <c r="G255" s="1"/>
      <c r="H255" s="1"/>
      <c r="I255" s="1"/>
      <c r="J255" s="1"/>
      <c r="K255" s="1"/>
      <c r="L255" s="1"/>
      <c r="M255" s="1"/>
      <c r="N255" s="1"/>
    </row>
    <row r="256" spans="2:14">
      <c r="B256" s="1"/>
      <c r="C256" s="1"/>
      <c r="D256" s="1"/>
      <c r="E256" s="1"/>
      <c r="F256" s="1"/>
      <c r="G256" s="1"/>
      <c r="H256" s="1"/>
      <c r="I256" s="1"/>
      <c r="J256" s="1"/>
      <c r="K256" s="1"/>
      <c r="L256" s="1"/>
      <c r="M256" s="1"/>
      <c r="N256" s="1"/>
    </row>
    <row r="257" spans="2:14">
      <c r="B257" s="1"/>
      <c r="C257" s="1"/>
      <c r="D257" s="1"/>
      <c r="E257" s="1"/>
      <c r="F257" s="1"/>
      <c r="G257" s="1"/>
      <c r="H257" s="1"/>
      <c r="I257" s="1"/>
      <c r="J257" s="1"/>
      <c r="K257" s="1"/>
      <c r="L257" s="1"/>
      <c r="M257" s="1"/>
      <c r="N257" s="1"/>
    </row>
    <row r="258" spans="2:14">
      <c r="B258" s="1"/>
      <c r="C258" s="1"/>
      <c r="D258" s="1"/>
      <c r="E258" s="1"/>
      <c r="F258" s="1"/>
      <c r="G258" s="1"/>
      <c r="H258" s="1"/>
      <c r="I258" s="1"/>
      <c r="J258" s="1"/>
      <c r="K258" s="1"/>
      <c r="L258" s="1"/>
      <c r="M258" s="1"/>
      <c r="N258" s="1"/>
    </row>
    <row r="259" spans="2:14">
      <c r="B259" s="1"/>
      <c r="C259" s="1"/>
      <c r="D259" s="1"/>
      <c r="E259" s="1"/>
      <c r="F259" s="1"/>
      <c r="G259" s="1"/>
      <c r="H259" s="1"/>
      <c r="I259" s="1"/>
      <c r="J259" s="1"/>
      <c r="K259" s="1"/>
      <c r="L259" s="1"/>
      <c r="M259" s="1"/>
      <c r="N259" s="1"/>
    </row>
    <row r="260" spans="2:14">
      <c r="B260" s="1"/>
      <c r="C260" s="1"/>
      <c r="D260" s="1"/>
      <c r="E260" s="1"/>
      <c r="F260" s="1"/>
      <c r="G260" s="1"/>
      <c r="H260" s="1"/>
      <c r="I260" s="1"/>
      <c r="J260" s="1"/>
      <c r="K260" s="1"/>
      <c r="L260" s="1"/>
      <c r="M260" s="1"/>
      <c r="N260" s="1"/>
    </row>
    <row r="261" spans="2:14">
      <c r="B261" s="1"/>
      <c r="C261" s="1"/>
      <c r="D261" s="1"/>
      <c r="E261" s="1"/>
      <c r="F261" s="1"/>
      <c r="G261" s="1"/>
      <c r="H261" s="1"/>
      <c r="I261" s="1"/>
      <c r="J261" s="1"/>
      <c r="K261" s="1"/>
      <c r="L261" s="1"/>
      <c r="M261" s="1"/>
      <c r="N261" s="1"/>
    </row>
    <row r="262" spans="2:14">
      <c r="B262" s="1"/>
      <c r="C262" s="1"/>
      <c r="D262" s="1"/>
      <c r="E262" s="1"/>
      <c r="F262" s="1"/>
      <c r="G262" s="1"/>
      <c r="H262" s="1"/>
      <c r="I262" s="1"/>
      <c r="J262" s="1"/>
      <c r="K262" s="1"/>
      <c r="L262" s="1"/>
      <c r="M262" s="1"/>
      <c r="N262" s="1"/>
    </row>
    <row r="263" spans="2:14">
      <c r="B263" s="1"/>
      <c r="C263" s="1"/>
      <c r="D263" s="1"/>
      <c r="E263" s="1"/>
      <c r="F263" s="1"/>
      <c r="G263" s="1"/>
      <c r="H263" s="1"/>
      <c r="I263" s="1"/>
      <c r="J263" s="1"/>
      <c r="K263" s="1"/>
      <c r="L263" s="1"/>
      <c r="M263" s="1"/>
      <c r="N263" s="1"/>
    </row>
    <row r="264" spans="2:14">
      <c r="B264" s="1"/>
      <c r="C264" s="1"/>
      <c r="D264" s="1"/>
      <c r="E264" s="1"/>
      <c r="F264" s="1"/>
      <c r="G264" s="1"/>
      <c r="H264" s="1"/>
      <c r="I264" s="1"/>
      <c r="J264" s="1"/>
      <c r="K264" s="1"/>
      <c r="L264" s="1"/>
      <c r="M264" s="1"/>
      <c r="N264" s="1"/>
    </row>
    <row r="265" spans="2:14">
      <c r="B265" s="1"/>
      <c r="C265" s="1"/>
      <c r="D265" s="1"/>
      <c r="E265" s="1"/>
      <c r="F265" s="1"/>
      <c r="G265" s="1"/>
      <c r="H265" s="1"/>
      <c r="I265" s="1"/>
      <c r="J265" s="1"/>
      <c r="K265" s="1"/>
      <c r="L265" s="1"/>
      <c r="M265" s="1"/>
      <c r="N265" s="1"/>
    </row>
    <row r="266" spans="2:14">
      <c r="B266" s="1"/>
      <c r="C266" s="1"/>
      <c r="D266" s="1"/>
      <c r="E266" s="1"/>
      <c r="F266" s="1"/>
      <c r="G266" s="1"/>
      <c r="H266" s="1"/>
      <c r="I266" s="1"/>
      <c r="J266" s="1"/>
      <c r="K266" s="1"/>
      <c r="L266" s="1"/>
      <c r="M266" s="1"/>
      <c r="N266" s="1"/>
    </row>
    <row r="267" spans="2:14">
      <c r="B267" s="1"/>
      <c r="C267" s="1"/>
      <c r="D267" s="1"/>
      <c r="E267" s="1"/>
      <c r="F267" s="1"/>
      <c r="G267" s="1"/>
      <c r="H267" s="1"/>
      <c r="I267" s="1"/>
      <c r="J267" s="1"/>
      <c r="K267" s="1"/>
      <c r="L267" s="1"/>
      <c r="M267" s="1"/>
      <c r="N267" s="1"/>
    </row>
    <row r="268" spans="2:14">
      <c r="B268" s="1"/>
      <c r="C268" s="1"/>
      <c r="D268" s="1"/>
      <c r="E268" s="1"/>
      <c r="F268" s="1"/>
      <c r="G268" s="1"/>
      <c r="H268" s="1"/>
      <c r="I268" s="1"/>
      <c r="J268" s="1"/>
      <c r="K268" s="1"/>
      <c r="L268" s="1"/>
      <c r="M268" s="1"/>
      <c r="N268" s="1"/>
    </row>
    <row r="269" spans="2:14">
      <c r="B269" s="1"/>
      <c r="C269" s="1"/>
      <c r="D269" s="1"/>
      <c r="E269" s="1"/>
      <c r="F269" s="1"/>
      <c r="G269" s="1"/>
      <c r="H269" s="1"/>
      <c r="I269" s="1"/>
      <c r="J269" s="1"/>
      <c r="K269" s="1"/>
      <c r="L269" s="1"/>
      <c r="M269" s="1"/>
      <c r="N269" s="1"/>
    </row>
    <row r="270" spans="2:14">
      <c r="B270" s="1"/>
      <c r="C270" s="1"/>
      <c r="D270" s="1"/>
      <c r="E270" s="1"/>
      <c r="F270" s="1"/>
      <c r="G270" s="1"/>
      <c r="H270" s="1"/>
      <c r="I270" s="1"/>
      <c r="J270" s="1"/>
      <c r="K270" s="1"/>
      <c r="L270" s="1"/>
      <c r="M270" s="1"/>
      <c r="N270" s="1"/>
    </row>
    <row r="271" spans="2:14">
      <c r="B271" s="1"/>
      <c r="C271" s="1"/>
      <c r="D271" s="1"/>
      <c r="E271" s="1"/>
      <c r="F271" s="1"/>
      <c r="G271" s="1"/>
      <c r="H271" s="1"/>
      <c r="I271" s="1"/>
      <c r="J271" s="1"/>
      <c r="K271" s="1"/>
      <c r="L271" s="1"/>
      <c r="M271" s="1"/>
      <c r="N271" s="1"/>
    </row>
    <row r="272" spans="2:14">
      <c r="B272" s="1"/>
      <c r="C272" s="1"/>
      <c r="D272" s="1"/>
      <c r="E272" s="1"/>
      <c r="F272" s="1"/>
      <c r="G272" s="1"/>
      <c r="H272" s="1"/>
      <c r="I272" s="1"/>
      <c r="J272" s="1"/>
      <c r="K272" s="1"/>
      <c r="L272" s="1"/>
      <c r="M272" s="1"/>
      <c r="N272" s="1"/>
    </row>
    <row r="273" spans="2:14">
      <c r="B273" s="1"/>
      <c r="C273" s="1"/>
      <c r="D273" s="1"/>
      <c r="E273" s="1"/>
      <c r="F273" s="1"/>
      <c r="G273" s="1"/>
      <c r="H273" s="1"/>
      <c r="I273" s="1"/>
      <c r="J273" s="1"/>
      <c r="K273" s="1"/>
      <c r="L273" s="1"/>
      <c r="M273" s="1"/>
      <c r="N273" s="1"/>
    </row>
    <row r="274" spans="2:14">
      <c r="B274" s="1"/>
      <c r="C274" s="1"/>
      <c r="D274" s="1"/>
      <c r="E274" s="1"/>
      <c r="F274" s="1"/>
      <c r="G274" s="1"/>
      <c r="H274" s="1"/>
      <c r="I274" s="1"/>
      <c r="J274" s="1"/>
      <c r="K274" s="1"/>
      <c r="L274" s="1"/>
      <c r="M274" s="1"/>
      <c r="N274" s="1"/>
    </row>
    <row r="275" spans="2:14">
      <c r="B275" s="1"/>
      <c r="C275" s="1"/>
      <c r="D275" s="1"/>
      <c r="E275" s="1"/>
      <c r="F275" s="1"/>
      <c r="G275" s="1"/>
      <c r="H275" s="1"/>
      <c r="I275" s="1"/>
      <c r="J275" s="1"/>
      <c r="K275" s="1"/>
      <c r="L275" s="1"/>
      <c r="M275" s="1"/>
      <c r="N275" s="1"/>
    </row>
    <row r="276" spans="2:14">
      <c r="B276" s="1"/>
      <c r="C276" s="1"/>
      <c r="D276" s="1"/>
      <c r="E276" s="1"/>
      <c r="F276" s="1"/>
      <c r="G276" s="1"/>
      <c r="H276" s="1"/>
      <c r="I276" s="1"/>
      <c r="J276" s="1"/>
      <c r="K276" s="1"/>
      <c r="L276" s="1"/>
      <c r="M276" s="1"/>
      <c r="N276" s="1"/>
    </row>
    <row r="277" spans="2:14">
      <c r="B277" s="1"/>
      <c r="C277" s="1"/>
      <c r="D277" s="1"/>
      <c r="E277" s="1"/>
      <c r="F277" s="1"/>
      <c r="G277" s="1"/>
      <c r="H277" s="1"/>
      <c r="I277" s="1"/>
      <c r="J277" s="1"/>
      <c r="K277" s="1"/>
      <c r="L277" s="1"/>
      <c r="M277" s="1"/>
      <c r="N277" s="1"/>
    </row>
    <row r="278" spans="2:14">
      <c r="B278" s="1"/>
      <c r="C278" s="1"/>
      <c r="D278" s="1"/>
      <c r="E278" s="1"/>
      <c r="F278" s="1"/>
      <c r="G278" s="1"/>
      <c r="H278" s="1"/>
      <c r="I278" s="1"/>
      <c r="J278" s="1"/>
      <c r="K278" s="1"/>
      <c r="L278" s="1"/>
      <c r="M278" s="1"/>
      <c r="N278" s="1"/>
    </row>
    <row r="279" spans="2:14">
      <c r="B279" s="1"/>
      <c r="C279" s="1"/>
      <c r="D279" s="1"/>
      <c r="E279" s="1"/>
      <c r="F279" s="1"/>
      <c r="G279" s="1"/>
      <c r="H279" s="1"/>
      <c r="I279" s="1"/>
      <c r="J279" s="1"/>
      <c r="K279" s="1"/>
      <c r="L279" s="1"/>
      <c r="M279" s="1"/>
      <c r="N279" s="1"/>
    </row>
    <row r="280" spans="2:14">
      <c r="B280" s="1"/>
      <c r="C280" s="1"/>
      <c r="D280" s="1"/>
      <c r="E280" s="1"/>
      <c r="F280" s="1"/>
      <c r="G280" s="1"/>
      <c r="H280" s="1"/>
      <c r="I280" s="1"/>
      <c r="J280" s="1"/>
      <c r="K280" s="1"/>
      <c r="L280" s="1"/>
      <c r="M280" s="1"/>
      <c r="N280" s="1"/>
    </row>
    <row r="281" spans="2:14">
      <c r="B281" s="1"/>
      <c r="C281" s="1"/>
      <c r="D281" s="1"/>
      <c r="E281" s="1"/>
      <c r="F281" s="1"/>
      <c r="G281" s="1"/>
      <c r="H281" s="1"/>
      <c r="I281" s="1"/>
      <c r="J281" s="1"/>
      <c r="K281" s="1"/>
      <c r="L281" s="1"/>
      <c r="M281" s="1"/>
      <c r="N281" s="1"/>
    </row>
    <row r="282" spans="2:14">
      <c r="B282" s="1"/>
      <c r="C282" s="1"/>
      <c r="D282" s="1"/>
      <c r="E282" s="1"/>
      <c r="F282" s="1"/>
      <c r="G282" s="1"/>
      <c r="H282" s="1"/>
      <c r="I282" s="1"/>
      <c r="J282" s="1"/>
      <c r="K282" s="1"/>
      <c r="L282" s="1"/>
      <c r="M282" s="1"/>
      <c r="N282" s="1"/>
    </row>
    <row r="283" spans="2:14">
      <c r="B283" s="1"/>
      <c r="C283" s="1"/>
      <c r="D283" s="1"/>
      <c r="E283" s="1"/>
      <c r="F283" s="1"/>
      <c r="G283" s="1"/>
      <c r="H283" s="1"/>
      <c r="I283" s="1"/>
      <c r="J283" s="1"/>
      <c r="K283" s="1"/>
      <c r="L283" s="1"/>
      <c r="M283" s="1"/>
      <c r="N283" s="1"/>
    </row>
    <row r="284" spans="2:14">
      <c r="B284" s="1"/>
      <c r="C284" s="1"/>
      <c r="D284" s="1"/>
      <c r="E284" s="1"/>
      <c r="F284" s="1"/>
      <c r="G284" s="1"/>
      <c r="H284" s="1"/>
      <c r="I284" s="1"/>
      <c r="J284" s="1"/>
      <c r="K284" s="1"/>
      <c r="L284" s="1"/>
      <c r="M284" s="1"/>
      <c r="N284" s="1"/>
    </row>
    <row r="285" spans="2:14">
      <c r="B285" s="1"/>
      <c r="C285" s="1"/>
      <c r="D285" s="1"/>
      <c r="E285" s="1"/>
      <c r="F285" s="1"/>
      <c r="G285" s="1"/>
      <c r="H285" s="1"/>
      <c r="I285" s="1"/>
      <c r="J285" s="1"/>
      <c r="K285" s="1"/>
      <c r="L285" s="1"/>
      <c r="M285" s="1"/>
      <c r="N285" s="1"/>
    </row>
    <row r="286" spans="2:14">
      <c r="B286" s="1"/>
      <c r="C286" s="1"/>
      <c r="D286" s="1"/>
      <c r="E286" s="1"/>
      <c r="F286" s="1"/>
      <c r="G286" s="1"/>
      <c r="H286" s="1"/>
      <c r="I286" s="1"/>
      <c r="J286" s="1"/>
      <c r="K286" s="1"/>
      <c r="L286" s="1"/>
      <c r="M286" s="1"/>
      <c r="N286" s="1"/>
    </row>
    <row r="287" spans="2:14">
      <c r="B287" s="1"/>
      <c r="C287" s="1"/>
      <c r="D287" s="1"/>
      <c r="E287" s="1"/>
      <c r="F287" s="1"/>
      <c r="G287" s="1"/>
      <c r="H287" s="1"/>
      <c r="I287" s="1"/>
      <c r="J287" s="1"/>
      <c r="K287" s="1"/>
      <c r="L287" s="1"/>
      <c r="M287" s="1"/>
      <c r="N287" s="1"/>
    </row>
    <row r="288" spans="2:14">
      <c r="B288" s="1"/>
      <c r="C288" s="1"/>
      <c r="D288" s="1"/>
      <c r="E288" s="1"/>
      <c r="F288" s="1"/>
      <c r="G288" s="1"/>
      <c r="H288" s="1"/>
      <c r="I288" s="1"/>
      <c r="J288" s="1"/>
      <c r="K288" s="1"/>
      <c r="L288" s="1"/>
      <c r="M288" s="1"/>
      <c r="N288" s="1"/>
    </row>
    <row r="289" spans="2:14">
      <c r="B289" s="1"/>
      <c r="C289" s="1"/>
      <c r="D289" s="1"/>
      <c r="E289" s="1"/>
      <c r="F289" s="1"/>
      <c r="G289" s="1"/>
      <c r="H289" s="1"/>
      <c r="I289" s="1"/>
      <c r="J289" s="1"/>
      <c r="K289" s="1"/>
      <c r="L289" s="1"/>
      <c r="M289" s="1"/>
      <c r="N289" s="1"/>
    </row>
    <row r="290" spans="2:14">
      <c r="B290" s="1"/>
      <c r="C290" s="1"/>
      <c r="D290" s="1"/>
      <c r="E290" s="1"/>
      <c r="F290" s="1"/>
      <c r="G290" s="1"/>
      <c r="H290" s="1"/>
      <c r="I290" s="1"/>
      <c r="J290" s="1"/>
      <c r="K290" s="1"/>
      <c r="L290" s="1"/>
      <c r="M290" s="1"/>
      <c r="N290" s="1"/>
    </row>
    <row r="291" spans="2:14">
      <c r="B291" s="1"/>
      <c r="C291" s="1"/>
      <c r="D291" s="1"/>
      <c r="E291" s="1"/>
      <c r="F291" s="1"/>
      <c r="G291" s="1"/>
      <c r="H291" s="1"/>
      <c r="I291" s="1"/>
      <c r="J291" s="1"/>
      <c r="K291" s="1"/>
      <c r="L291" s="1"/>
      <c r="M291" s="1"/>
      <c r="N291" s="1"/>
    </row>
    <row r="292" spans="2:14">
      <c r="B292" s="1"/>
      <c r="C292" s="1"/>
      <c r="D292" s="1"/>
      <c r="E292" s="1"/>
      <c r="F292" s="1"/>
      <c r="G292" s="1"/>
      <c r="H292" s="1"/>
      <c r="I292" s="1"/>
      <c r="J292" s="1"/>
      <c r="K292" s="1"/>
      <c r="L292" s="1"/>
      <c r="M292" s="1"/>
      <c r="N292" s="1"/>
    </row>
    <row r="293" spans="2:14">
      <c r="B293" s="1"/>
      <c r="C293" s="1"/>
      <c r="D293" s="1"/>
      <c r="E293" s="1"/>
      <c r="F293" s="1"/>
      <c r="G293" s="1"/>
      <c r="H293" s="1"/>
      <c r="I293" s="1"/>
      <c r="J293" s="1"/>
      <c r="K293" s="1"/>
      <c r="L293" s="1"/>
      <c r="M293" s="1"/>
      <c r="N293" s="1"/>
    </row>
    <row r="294" spans="2:14">
      <c r="B294" s="1"/>
      <c r="C294" s="1"/>
      <c r="D294" s="1"/>
      <c r="E294" s="1"/>
      <c r="F294" s="1"/>
      <c r="G294" s="1"/>
      <c r="H294" s="1"/>
      <c r="I294" s="1"/>
      <c r="J294" s="1"/>
      <c r="K294" s="1"/>
      <c r="L294" s="1"/>
      <c r="M294" s="1"/>
      <c r="N294" s="1"/>
    </row>
    <row r="295" spans="2:14">
      <c r="B295" s="1"/>
      <c r="C295" s="1"/>
      <c r="D295" s="1"/>
      <c r="E295" s="1"/>
      <c r="F295" s="1"/>
      <c r="G295" s="1"/>
      <c r="H295" s="1"/>
      <c r="I295" s="1"/>
      <c r="J295" s="1"/>
      <c r="K295" s="1"/>
      <c r="L295" s="1"/>
      <c r="M295" s="1"/>
      <c r="N295" s="1"/>
    </row>
    <row r="296" spans="2:14">
      <c r="B296" s="1"/>
      <c r="C296" s="1"/>
      <c r="D296" s="1"/>
      <c r="E296" s="1"/>
      <c r="F296" s="1"/>
      <c r="G296" s="1"/>
      <c r="H296" s="1"/>
      <c r="I296" s="1"/>
      <c r="J296" s="1"/>
      <c r="K296" s="1"/>
      <c r="L296" s="1"/>
      <c r="M296" s="1"/>
      <c r="N296" s="1"/>
    </row>
    <row r="297" spans="2:14">
      <c r="B297" s="1"/>
      <c r="C297" s="1"/>
      <c r="D297" s="1"/>
      <c r="E297" s="1"/>
      <c r="F297" s="1"/>
      <c r="G297" s="1"/>
      <c r="H297" s="1"/>
      <c r="I297" s="1"/>
      <c r="J297" s="1"/>
      <c r="K297" s="1"/>
      <c r="L297" s="1"/>
      <c r="M297" s="1"/>
      <c r="N297" s="1"/>
    </row>
    <row r="298" spans="2:14">
      <c r="B298" s="1"/>
      <c r="C298" s="1"/>
      <c r="D298" s="1"/>
      <c r="E298" s="1"/>
      <c r="F298" s="1"/>
      <c r="G298" s="1"/>
      <c r="H298" s="1"/>
      <c r="I298" s="1"/>
      <c r="J298" s="1"/>
      <c r="K298" s="1"/>
      <c r="L298" s="1"/>
      <c r="M298" s="1"/>
      <c r="N298" s="1"/>
    </row>
    <row r="299" spans="2:14">
      <c r="B299" s="1"/>
      <c r="C299" s="1"/>
      <c r="D299" s="1"/>
      <c r="E299" s="1"/>
      <c r="F299" s="1"/>
      <c r="G299" s="1"/>
      <c r="H299" s="1"/>
      <c r="I299" s="1"/>
      <c r="J299" s="1"/>
      <c r="K299" s="1"/>
      <c r="L299" s="1"/>
      <c r="M299" s="1"/>
      <c r="N299" s="1"/>
    </row>
    <row r="300" spans="2:14">
      <c r="B300" s="1"/>
      <c r="C300" s="1"/>
      <c r="D300" s="1"/>
      <c r="E300" s="1"/>
      <c r="F300" s="1"/>
      <c r="G300" s="1"/>
      <c r="H300" s="1"/>
      <c r="I300" s="1"/>
      <c r="J300" s="1"/>
      <c r="K300" s="1"/>
      <c r="L300" s="1"/>
      <c r="M300" s="1"/>
      <c r="N300" s="1"/>
    </row>
    <row r="301" spans="2:14">
      <c r="B301" s="1"/>
      <c r="C301" s="1"/>
      <c r="D301" s="1"/>
      <c r="E301" s="1"/>
      <c r="F301" s="1"/>
      <c r="G301" s="1"/>
      <c r="H301" s="1"/>
      <c r="I301" s="1"/>
      <c r="J301" s="1"/>
      <c r="K301" s="1"/>
      <c r="L301" s="1"/>
      <c r="M301" s="1"/>
      <c r="N301" s="1"/>
    </row>
    <row r="302" spans="2:14">
      <c r="B302" s="1"/>
      <c r="C302" s="1"/>
      <c r="D302" s="1"/>
      <c r="E302" s="1"/>
      <c r="F302" s="1"/>
      <c r="G302" s="1"/>
      <c r="H302" s="1"/>
      <c r="I302" s="1"/>
      <c r="J302" s="1"/>
      <c r="K302" s="1"/>
      <c r="L302" s="1"/>
      <c r="M302" s="1"/>
      <c r="N302" s="1"/>
    </row>
    <row r="303" spans="2:14">
      <c r="B303" s="1"/>
      <c r="C303" s="1"/>
      <c r="D303" s="1"/>
      <c r="E303" s="1"/>
      <c r="F303" s="1"/>
      <c r="G303" s="1"/>
      <c r="H303" s="1"/>
      <c r="I303" s="1"/>
      <c r="J303" s="1"/>
      <c r="K303" s="1"/>
      <c r="L303" s="1"/>
      <c r="M303" s="1"/>
      <c r="N303" s="1"/>
    </row>
    <row r="304" spans="2:14">
      <c r="B304" s="1"/>
      <c r="C304" s="1"/>
      <c r="D304" s="1"/>
      <c r="E304" s="1"/>
      <c r="F304" s="1"/>
      <c r="G304" s="1"/>
      <c r="H304" s="1"/>
      <c r="I304" s="1"/>
      <c r="J304" s="1"/>
      <c r="K304" s="1"/>
      <c r="L304" s="1"/>
      <c r="M304" s="1"/>
      <c r="N304" s="1"/>
    </row>
    <row r="305" spans="2:14">
      <c r="B305" s="1"/>
      <c r="C305" s="1"/>
      <c r="D305" s="1"/>
      <c r="E305" s="1"/>
      <c r="F305" s="1"/>
      <c r="G305" s="1"/>
      <c r="H305" s="1"/>
      <c r="I305" s="1"/>
      <c r="J305" s="1"/>
      <c r="K305" s="1"/>
      <c r="L305" s="1"/>
      <c r="M305" s="1"/>
      <c r="N305" s="1"/>
    </row>
    <row r="306" spans="2:14">
      <c r="B306" s="1"/>
      <c r="C306" s="1"/>
      <c r="D306" s="1"/>
      <c r="E306" s="1"/>
      <c r="F306" s="1"/>
      <c r="G306" s="1"/>
      <c r="H306" s="1"/>
      <c r="I306" s="1"/>
      <c r="J306" s="1"/>
      <c r="K306" s="1"/>
      <c r="L306" s="1"/>
      <c r="M306" s="1"/>
      <c r="N306" s="1"/>
    </row>
    <row r="307" spans="2:14">
      <c r="B307" s="1"/>
      <c r="C307" s="1"/>
      <c r="D307" s="1"/>
      <c r="E307" s="1"/>
      <c r="F307" s="1"/>
      <c r="G307" s="1"/>
      <c r="H307" s="1"/>
      <c r="I307" s="1"/>
      <c r="J307" s="1"/>
      <c r="K307" s="1"/>
      <c r="L307" s="1"/>
      <c r="M307" s="1"/>
      <c r="N307" s="1"/>
    </row>
    <row r="308" spans="2:14">
      <c r="B308" s="1"/>
      <c r="C308" s="1"/>
      <c r="D308" s="1"/>
      <c r="E308" s="1"/>
      <c r="F308" s="1"/>
      <c r="G308" s="1"/>
      <c r="H308" s="1"/>
      <c r="I308" s="1"/>
      <c r="J308" s="1"/>
      <c r="K308" s="1"/>
      <c r="L308" s="1"/>
      <c r="M308" s="1"/>
      <c r="N308" s="1"/>
    </row>
    <row r="309" spans="2:14">
      <c r="B309" s="1"/>
      <c r="C309" s="1"/>
      <c r="D309" s="1"/>
      <c r="E309" s="1"/>
      <c r="F309" s="1"/>
      <c r="G309" s="1"/>
      <c r="H309" s="1"/>
      <c r="I309" s="1"/>
      <c r="J309" s="1"/>
      <c r="K309" s="1"/>
      <c r="L309" s="1"/>
      <c r="M309" s="1"/>
      <c r="N309" s="1"/>
    </row>
    <row r="310" spans="2:14">
      <c r="B310" s="1"/>
      <c r="C310" s="1"/>
      <c r="D310" s="1"/>
      <c r="E310" s="1"/>
      <c r="F310" s="1"/>
      <c r="G310" s="1"/>
      <c r="H310" s="1"/>
      <c r="I310" s="1"/>
      <c r="J310" s="1"/>
      <c r="K310" s="1"/>
      <c r="L310" s="1"/>
      <c r="M310" s="1"/>
      <c r="N310" s="1"/>
    </row>
    <row r="311" spans="2:14">
      <c r="B311" s="1"/>
      <c r="C311" s="1"/>
      <c r="D311" s="1"/>
      <c r="E311" s="1"/>
      <c r="F311" s="1"/>
      <c r="G311" s="1"/>
      <c r="H311" s="1"/>
      <c r="I311" s="1"/>
      <c r="J311" s="1"/>
      <c r="K311" s="1"/>
      <c r="L311" s="1"/>
      <c r="M311" s="1"/>
      <c r="N311" s="1"/>
    </row>
    <row r="312" spans="2:14">
      <c r="B312" s="1"/>
      <c r="C312" s="1"/>
      <c r="D312" s="1"/>
      <c r="E312" s="1"/>
      <c r="F312" s="1"/>
      <c r="G312" s="1"/>
      <c r="H312" s="1"/>
      <c r="I312" s="1"/>
      <c r="J312" s="1"/>
      <c r="K312" s="1"/>
      <c r="L312" s="1"/>
      <c r="M312" s="1"/>
      <c r="N312" s="1"/>
    </row>
    <row r="313" spans="2:14">
      <c r="B313" s="1"/>
      <c r="C313" s="1"/>
      <c r="D313" s="1"/>
      <c r="E313" s="1"/>
      <c r="F313" s="1"/>
      <c r="G313" s="1"/>
      <c r="H313" s="1"/>
      <c r="I313" s="1"/>
      <c r="J313" s="1"/>
      <c r="K313" s="1"/>
      <c r="L313" s="1"/>
      <c r="M313" s="1"/>
      <c r="N313" s="1"/>
    </row>
    <row r="314" spans="2:14">
      <c r="B314" s="1"/>
      <c r="C314" s="1"/>
      <c r="D314" s="1"/>
      <c r="E314" s="1"/>
      <c r="F314" s="1"/>
      <c r="G314" s="1"/>
      <c r="H314" s="1"/>
      <c r="I314" s="1"/>
      <c r="J314" s="1"/>
      <c r="K314" s="1"/>
      <c r="L314" s="1"/>
      <c r="M314" s="1"/>
      <c r="N314" s="1"/>
    </row>
    <row r="315" spans="2:14">
      <c r="B315" s="1"/>
      <c r="C315" s="1"/>
      <c r="D315" s="1"/>
      <c r="E315" s="1"/>
      <c r="F315" s="1"/>
      <c r="G315" s="1"/>
      <c r="H315" s="1"/>
      <c r="I315" s="1"/>
      <c r="J315" s="1"/>
      <c r="K315" s="1"/>
      <c r="L315" s="1"/>
      <c r="M315" s="1"/>
      <c r="N315" s="1"/>
    </row>
    <row r="316" spans="2:14">
      <c r="B316" s="1"/>
      <c r="C316" s="1"/>
      <c r="D316" s="1"/>
      <c r="E316" s="1"/>
      <c r="F316" s="1"/>
      <c r="G316" s="1"/>
      <c r="H316" s="1"/>
      <c r="I316" s="1"/>
      <c r="J316" s="1"/>
      <c r="K316" s="1"/>
      <c r="L316" s="1"/>
      <c r="M316" s="1"/>
      <c r="N316" s="1"/>
    </row>
    <row r="317" spans="2:14">
      <c r="B317" s="1"/>
      <c r="C317" s="1"/>
      <c r="D317" s="1"/>
      <c r="E317" s="1"/>
      <c r="F317" s="1"/>
      <c r="G317" s="1"/>
      <c r="H317" s="1"/>
      <c r="I317" s="1"/>
      <c r="J317" s="1"/>
      <c r="K317" s="1"/>
      <c r="L317" s="1"/>
      <c r="M317" s="1"/>
      <c r="N317" s="1"/>
    </row>
    <row r="318" spans="2:14">
      <c r="B318" s="1"/>
      <c r="C318" s="1"/>
      <c r="D318" s="1"/>
      <c r="E318" s="1"/>
      <c r="F318" s="1"/>
      <c r="G318" s="1"/>
      <c r="H318" s="1"/>
      <c r="I318" s="1"/>
      <c r="J318" s="1"/>
      <c r="K318" s="1"/>
      <c r="L318" s="1"/>
      <c r="M318" s="1"/>
      <c r="N318" s="1"/>
    </row>
    <row r="319" spans="2:14">
      <c r="B319" s="1"/>
      <c r="C319" s="1"/>
      <c r="D319" s="1"/>
      <c r="E319" s="1"/>
      <c r="F319" s="1"/>
      <c r="G319" s="1"/>
      <c r="H319" s="1"/>
      <c r="I319" s="1"/>
      <c r="J319" s="1"/>
      <c r="K319" s="1"/>
      <c r="L319" s="1"/>
      <c r="M319" s="1"/>
      <c r="N319" s="1"/>
    </row>
    <row r="320" spans="2:14">
      <c r="B320" s="1"/>
      <c r="C320" s="1"/>
      <c r="D320" s="1"/>
      <c r="E320" s="1"/>
      <c r="F320" s="1"/>
      <c r="G320" s="1"/>
      <c r="H320" s="1"/>
      <c r="I320" s="1"/>
      <c r="J320" s="1"/>
      <c r="K320" s="1"/>
      <c r="L320" s="1"/>
      <c r="M320" s="1"/>
      <c r="N320" s="1"/>
    </row>
    <row r="321" spans="2:14">
      <c r="B321" s="1"/>
      <c r="C321" s="1"/>
      <c r="D321" s="1"/>
      <c r="E321" s="1"/>
      <c r="F321" s="1"/>
      <c r="G321" s="1"/>
      <c r="H321" s="1"/>
      <c r="I321" s="1"/>
      <c r="J321" s="1"/>
      <c r="K321" s="1"/>
      <c r="L321" s="1"/>
      <c r="M321" s="1"/>
      <c r="N321" s="1"/>
    </row>
    <row r="322" spans="2:14">
      <c r="B322" s="1"/>
      <c r="C322" s="1"/>
      <c r="D322" s="1"/>
      <c r="E322" s="1"/>
      <c r="F322" s="1"/>
      <c r="G322" s="1"/>
      <c r="H322" s="1"/>
      <c r="I322" s="1"/>
      <c r="J322" s="1"/>
      <c r="K322" s="1"/>
      <c r="L322" s="1"/>
      <c r="M322" s="1"/>
      <c r="N322" s="1"/>
    </row>
    <row r="323" spans="2:14">
      <c r="B323" s="1"/>
      <c r="C323" s="1"/>
      <c r="D323" s="1"/>
      <c r="E323" s="1"/>
      <c r="F323" s="1"/>
      <c r="G323" s="1"/>
      <c r="H323" s="1"/>
      <c r="I323" s="1"/>
      <c r="J323" s="1"/>
      <c r="K323" s="1"/>
      <c r="L323" s="1"/>
      <c r="M323" s="1"/>
      <c r="N323" s="1"/>
    </row>
    <row r="324" spans="2:14">
      <c r="B324" s="1"/>
      <c r="C324" s="1"/>
      <c r="D324" s="1"/>
      <c r="E324" s="1"/>
      <c r="F324" s="1"/>
      <c r="G324" s="1"/>
      <c r="H324" s="1"/>
      <c r="I324" s="1"/>
      <c r="J324" s="1"/>
      <c r="K324" s="1"/>
      <c r="L324" s="1"/>
      <c r="M324" s="1"/>
      <c r="N324" s="1"/>
    </row>
    <row r="325" spans="2:14">
      <c r="B325" s="1"/>
      <c r="C325" s="1"/>
      <c r="D325" s="1"/>
      <c r="E325" s="1"/>
      <c r="F325" s="1"/>
      <c r="G325" s="1"/>
      <c r="H325" s="1"/>
      <c r="I325" s="1"/>
      <c r="J325" s="1"/>
      <c r="K325" s="1"/>
      <c r="L325" s="1"/>
      <c r="M325" s="1"/>
      <c r="N325" s="1"/>
    </row>
    <row r="326" spans="2:14">
      <c r="B326" s="1"/>
      <c r="C326" s="1"/>
      <c r="D326" s="1"/>
      <c r="E326" s="1"/>
      <c r="F326" s="1"/>
      <c r="G326" s="1"/>
      <c r="H326" s="1"/>
      <c r="I326" s="1"/>
      <c r="J326" s="1"/>
      <c r="K326" s="1"/>
      <c r="L326" s="1"/>
      <c r="M326" s="1"/>
      <c r="N326" s="1"/>
    </row>
    <row r="327" spans="2:14">
      <c r="B327" s="1"/>
      <c r="C327" s="1"/>
      <c r="D327" s="1"/>
      <c r="E327" s="1"/>
      <c r="F327" s="1"/>
      <c r="G327" s="1"/>
      <c r="H327" s="1"/>
      <c r="I327" s="1"/>
      <c r="J327" s="1"/>
      <c r="K327" s="1"/>
      <c r="L327" s="1"/>
      <c r="M327" s="1"/>
      <c r="N327" s="1"/>
    </row>
    <row r="328" spans="2:14">
      <c r="B328" s="1"/>
      <c r="C328" s="1"/>
      <c r="D328" s="1"/>
      <c r="E328" s="1"/>
      <c r="F328" s="1"/>
      <c r="G328" s="1"/>
      <c r="H328" s="1"/>
      <c r="I328" s="1"/>
      <c r="J328" s="1"/>
      <c r="K328" s="1"/>
      <c r="L328" s="1"/>
      <c r="M328" s="1"/>
      <c r="N328" s="1"/>
    </row>
    <row r="329" spans="2:14">
      <c r="B329" s="1"/>
      <c r="C329" s="1"/>
      <c r="D329" s="1"/>
      <c r="E329" s="1"/>
      <c r="F329" s="1"/>
      <c r="G329" s="1"/>
      <c r="H329" s="1"/>
      <c r="I329" s="1"/>
      <c r="J329" s="1"/>
      <c r="K329" s="1"/>
      <c r="L329" s="1"/>
      <c r="M329" s="1"/>
      <c r="N329" s="1"/>
    </row>
    <row r="330" spans="2:14">
      <c r="B330" s="1"/>
      <c r="C330" s="1"/>
      <c r="D330" s="1"/>
      <c r="E330" s="1"/>
      <c r="F330" s="1"/>
      <c r="G330" s="1"/>
      <c r="H330" s="1"/>
      <c r="I330" s="1"/>
      <c r="J330" s="1"/>
      <c r="K330" s="1"/>
      <c r="L330" s="1"/>
      <c r="M330" s="1"/>
      <c r="N330" s="1"/>
    </row>
    <row r="331" spans="2:14">
      <c r="B331" s="1"/>
      <c r="C331" s="1"/>
      <c r="D331" s="1"/>
      <c r="E331" s="1"/>
      <c r="F331" s="1"/>
      <c r="G331" s="1"/>
      <c r="H331" s="1"/>
      <c r="I331" s="1"/>
      <c r="J331" s="1"/>
      <c r="K331" s="1"/>
      <c r="L331" s="1"/>
      <c r="M331" s="1"/>
      <c r="N331" s="1"/>
    </row>
    <row r="332" spans="2:14">
      <c r="B332" s="1"/>
      <c r="C332" s="1"/>
      <c r="D332" s="1"/>
      <c r="E332" s="1"/>
      <c r="F332" s="1"/>
      <c r="G332" s="1"/>
      <c r="H332" s="1"/>
      <c r="I332" s="1"/>
      <c r="J332" s="1"/>
      <c r="K332" s="1"/>
      <c r="L332" s="1"/>
      <c r="M332" s="1"/>
      <c r="N332" s="1"/>
    </row>
    <row r="333" spans="2:14">
      <c r="B333" s="1"/>
      <c r="C333" s="1"/>
      <c r="D333" s="1"/>
      <c r="E333" s="1"/>
      <c r="F333" s="1"/>
      <c r="G333" s="1"/>
      <c r="H333" s="1"/>
      <c r="I333" s="1"/>
      <c r="J333" s="1"/>
      <c r="K333" s="1"/>
      <c r="L333" s="1"/>
      <c r="M333" s="1"/>
      <c r="N333" s="1"/>
    </row>
    <row r="334" spans="2:14">
      <c r="B334" s="1"/>
      <c r="C334" s="1"/>
      <c r="D334" s="1"/>
      <c r="E334" s="1"/>
      <c r="F334" s="1"/>
      <c r="G334" s="1"/>
      <c r="H334" s="1"/>
      <c r="I334" s="1"/>
      <c r="J334" s="1"/>
      <c r="K334" s="1"/>
      <c r="L334" s="1"/>
      <c r="M334" s="1"/>
      <c r="N334" s="1"/>
    </row>
    <row r="335" spans="2:14">
      <c r="B335" s="1"/>
      <c r="C335" s="1"/>
      <c r="D335" s="1"/>
      <c r="E335" s="1"/>
      <c r="F335" s="1"/>
      <c r="G335" s="1"/>
      <c r="H335" s="1"/>
      <c r="I335" s="1"/>
      <c r="J335" s="1"/>
      <c r="K335" s="1"/>
      <c r="L335" s="1"/>
      <c r="M335" s="1"/>
      <c r="N335" s="1"/>
    </row>
    <row r="336" spans="2:14">
      <c r="B336" s="1"/>
      <c r="C336" s="1"/>
      <c r="D336" s="1"/>
      <c r="E336" s="1"/>
      <c r="F336" s="1"/>
      <c r="G336" s="1"/>
      <c r="H336" s="1"/>
      <c r="I336" s="1"/>
      <c r="J336" s="1"/>
      <c r="K336" s="1"/>
      <c r="L336" s="1"/>
      <c r="M336" s="1"/>
      <c r="N336" s="1"/>
    </row>
    <row r="337" spans="2:14">
      <c r="B337" s="1"/>
      <c r="C337" s="1"/>
      <c r="D337" s="1"/>
      <c r="E337" s="1"/>
      <c r="F337" s="1"/>
      <c r="G337" s="1"/>
      <c r="H337" s="1"/>
      <c r="I337" s="1"/>
      <c r="J337" s="1"/>
      <c r="K337" s="1"/>
      <c r="L337" s="1"/>
      <c r="M337" s="1"/>
      <c r="N337" s="1"/>
    </row>
    <row r="338" spans="2:14">
      <c r="B338" s="1"/>
      <c r="C338" s="1"/>
      <c r="D338" s="1"/>
      <c r="E338" s="1"/>
      <c r="F338" s="1"/>
      <c r="G338" s="1"/>
      <c r="H338" s="1"/>
      <c r="I338" s="1"/>
      <c r="J338" s="1"/>
      <c r="K338" s="1"/>
      <c r="L338" s="1"/>
      <c r="M338" s="1"/>
      <c r="N338" s="1"/>
    </row>
    <row r="339" spans="2:14">
      <c r="B339" s="1"/>
      <c r="C339" s="1"/>
      <c r="D339" s="1"/>
      <c r="E339" s="1"/>
      <c r="F339" s="1"/>
      <c r="G339" s="1"/>
      <c r="H339" s="1"/>
      <c r="I339" s="1"/>
      <c r="J339" s="1"/>
      <c r="K339" s="1"/>
      <c r="L339" s="1"/>
      <c r="M339" s="1"/>
      <c r="N339" s="1"/>
    </row>
    <row r="340" spans="2:14">
      <c r="B340" s="1"/>
      <c r="C340" s="1"/>
      <c r="D340" s="1"/>
      <c r="E340" s="1"/>
      <c r="F340" s="1"/>
      <c r="G340" s="1"/>
      <c r="H340" s="1"/>
      <c r="I340" s="1"/>
      <c r="J340" s="1"/>
      <c r="K340" s="1"/>
      <c r="L340" s="1"/>
      <c r="M340" s="1"/>
      <c r="N340" s="1"/>
    </row>
    <row r="341" spans="2:14">
      <c r="B341" s="1"/>
      <c r="C341" s="1"/>
      <c r="D341" s="1"/>
      <c r="E341" s="1"/>
      <c r="F341" s="1"/>
      <c r="G341" s="1"/>
      <c r="H341" s="1"/>
      <c r="I341" s="1"/>
      <c r="J341" s="1"/>
      <c r="K341" s="1"/>
      <c r="L341" s="1"/>
      <c r="M341" s="1"/>
      <c r="N341" s="1"/>
    </row>
    <row r="342" spans="2:14">
      <c r="B342" s="1"/>
      <c r="C342" s="1"/>
      <c r="D342" s="1"/>
      <c r="E342" s="1"/>
      <c r="F342" s="1"/>
      <c r="G342" s="1"/>
      <c r="H342" s="1"/>
      <c r="I342" s="1"/>
      <c r="J342" s="1"/>
      <c r="K342" s="1"/>
      <c r="L342" s="1"/>
      <c r="M342" s="1"/>
      <c r="N342" s="1"/>
    </row>
    <row r="343" spans="2:14">
      <c r="B343" s="1"/>
      <c r="C343" s="1"/>
      <c r="D343" s="1"/>
      <c r="E343" s="1"/>
      <c r="F343" s="1"/>
      <c r="G343" s="1"/>
      <c r="H343" s="1"/>
      <c r="I343" s="1"/>
      <c r="J343" s="1"/>
      <c r="K343" s="1"/>
      <c r="L343" s="1"/>
      <c r="M343" s="1"/>
      <c r="N343" s="1"/>
    </row>
    <row r="344" spans="2:14">
      <c r="B344" s="1"/>
      <c r="C344" s="1"/>
      <c r="D344" s="1"/>
      <c r="E344" s="1"/>
      <c r="F344" s="1"/>
      <c r="G344" s="1"/>
      <c r="H344" s="1"/>
      <c r="I344" s="1"/>
      <c r="J344" s="1"/>
      <c r="K344" s="1"/>
      <c r="L344" s="1"/>
      <c r="M344" s="1"/>
      <c r="N344" s="1"/>
    </row>
    <row r="345" spans="2:14">
      <c r="B345" s="1"/>
      <c r="C345" s="1"/>
      <c r="D345" s="1"/>
      <c r="E345" s="1"/>
      <c r="F345" s="1"/>
      <c r="G345" s="1"/>
      <c r="H345" s="1"/>
      <c r="I345" s="1"/>
      <c r="J345" s="1"/>
      <c r="K345" s="1"/>
      <c r="L345" s="1"/>
      <c r="M345" s="1"/>
      <c r="N345" s="1"/>
    </row>
    <row r="346" spans="2:14">
      <c r="B346" s="1"/>
      <c r="C346" s="1"/>
      <c r="D346" s="1"/>
      <c r="E346" s="1"/>
      <c r="F346" s="1"/>
      <c r="G346" s="1"/>
      <c r="H346" s="1"/>
      <c r="I346" s="1"/>
      <c r="J346" s="1"/>
      <c r="K346" s="1"/>
      <c r="L346" s="1"/>
      <c r="M346" s="1"/>
      <c r="N346" s="1"/>
    </row>
    <row r="347" spans="2:14">
      <c r="B347" s="1"/>
      <c r="C347" s="1"/>
      <c r="D347" s="1"/>
      <c r="E347" s="1"/>
      <c r="F347" s="1"/>
      <c r="G347" s="1"/>
      <c r="H347" s="1"/>
      <c r="I347" s="1"/>
      <c r="J347" s="1"/>
      <c r="K347" s="1"/>
      <c r="L347" s="1"/>
      <c r="M347" s="1"/>
      <c r="N347" s="1"/>
    </row>
    <row r="348" spans="2:14">
      <c r="B348" s="1"/>
      <c r="C348" s="1"/>
      <c r="D348" s="1"/>
      <c r="E348" s="1"/>
      <c r="F348" s="1"/>
      <c r="G348" s="1"/>
      <c r="H348" s="1"/>
      <c r="I348" s="1"/>
      <c r="J348" s="1"/>
      <c r="K348" s="1"/>
      <c r="L348" s="1"/>
      <c r="M348" s="1"/>
      <c r="N348" s="1"/>
    </row>
    <row r="349" spans="2:14">
      <c r="B349" s="1"/>
      <c r="C349" s="1"/>
      <c r="D349" s="1"/>
      <c r="E349" s="1"/>
      <c r="F349" s="1"/>
      <c r="G349" s="1"/>
      <c r="H349" s="1"/>
      <c r="I349" s="1"/>
      <c r="J349" s="1"/>
      <c r="K349" s="1"/>
      <c r="L349" s="1"/>
      <c r="M349" s="1"/>
      <c r="N349" s="1"/>
    </row>
    <row r="350" spans="2:14">
      <c r="B350" s="1"/>
      <c r="C350" s="1"/>
      <c r="D350" s="1"/>
      <c r="E350" s="1"/>
      <c r="F350" s="1"/>
      <c r="G350" s="1"/>
      <c r="H350" s="1"/>
      <c r="I350" s="1"/>
      <c r="J350" s="1"/>
      <c r="K350" s="1"/>
      <c r="L350" s="1"/>
      <c r="M350" s="1"/>
      <c r="N350" s="1"/>
    </row>
    <row r="351" spans="2:14">
      <c r="B351" s="1"/>
      <c r="C351" s="1"/>
      <c r="D351" s="1"/>
      <c r="E351" s="1"/>
      <c r="F351" s="1"/>
      <c r="G351" s="1"/>
      <c r="H351" s="1"/>
      <c r="I351" s="1"/>
      <c r="J351" s="1"/>
      <c r="K351" s="1"/>
      <c r="L351" s="1"/>
      <c r="M351" s="1"/>
      <c r="N351" s="1"/>
    </row>
    <row r="352" spans="2:14">
      <c r="B352" s="1"/>
      <c r="C352" s="1"/>
      <c r="D352" s="1"/>
      <c r="E352" s="1"/>
      <c r="F352" s="1"/>
      <c r="G352" s="1"/>
      <c r="H352" s="1"/>
      <c r="I352" s="1"/>
      <c r="J352" s="1"/>
      <c r="K352" s="1"/>
      <c r="L352" s="1"/>
      <c r="M352" s="1"/>
      <c r="N352" s="1"/>
    </row>
    <row r="353" spans="2:14">
      <c r="B353" s="1"/>
      <c r="C353" s="1"/>
      <c r="D353" s="1"/>
      <c r="E353" s="1"/>
      <c r="F353" s="1"/>
      <c r="G353" s="1"/>
      <c r="H353" s="1"/>
      <c r="I353" s="1"/>
      <c r="J353" s="1"/>
      <c r="K353" s="1"/>
      <c r="L353" s="1"/>
      <c r="M353" s="1"/>
      <c r="N353" s="1"/>
    </row>
    <row r="354" spans="2:14">
      <c r="B354" s="1"/>
      <c r="C354" s="1"/>
      <c r="D354" s="1"/>
      <c r="E354" s="1"/>
      <c r="F354" s="1"/>
      <c r="G354" s="1"/>
      <c r="H354" s="1"/>
      <c r="I354" s="1"/>
      <c r="J354" s="1"/>
      <c r="K354" s="1"/>
      <c r="L354" s="1"/>
      <c r="M354" s="1"/>
      <c r="N354" s="1"/>
    </row>
    <row r="355" spans="2:14">
      <c r="B355" s="1"/>
      <c r="C355" s="1"/>
      <c r="D355" s="1"/>
      <c r="E355" s="1"/>
      <c r="F355" s="1"/>
      <c r="G355" s="1"/>
      <c r="H355" s="1"/>
      <c r="I355" s="1"/>
      <c r="J355" s="1"/>
      <c r="K355" s="1"/>
      <c r="L355" s="1"/>
      <c r="M355" s="1"/>
      <c r="N355" s="1"/>
    </row>
    <row r="356" spans="2:14">
      <c r="B356" s="1"/>
      <c r="C356" s="1"/>
      <c r="D356" s="1"/>
      <c r="E356" s="1"/>
      <c r="F356" s="1"/>
      <c r="G356" s="1"/>
      <c r="H356" s="1"/>
      <c r="I356" s="1"/>
      <c r="J356" s="1"/>
      <c r="K356" s="1"/>
      <c r="L356" s="1"/>
      <c r="M356" s="1"/>
      <c r="N356" s="1"/>
    </row>
    <row r="357" spans="2:14">
      <c r="B357" s="1"/>
      <c r="C357" s="1"/>
      <c r="D357" s="1"/>
      <c r="E357" s="1"/>
      <c r="F357" s="1"/>
      <c r="G357" s="1"/>
      <c r="H357" s="1"/>
      <c r="I357" s="1"/>
      <c r="J357" s="1"/>
      <c r="K357" s="1"/>
      <c r="L357" s="1"/>
      <c r="M357" s="1"/>
      <c r="N357" s="1"/>
    </row>
    <row r="358" spans="2:14">
      <c r="B358" s="1"/>
      <c r="C358" s="1"/>
      <c r="D358" s="1"/>
      <c r="E358" s="1"/>
      <c r="F358" s="1"/>
      <c r="G358" s="1"/>
      <c r="H358" s="1"/>
      <c r="I358" s="1"/>
      <c r="J358" s="1"/>
      <c r="K358" s="1"/>
      <c r="L358" s="1"/>
      <c r="M358" s="1"/>
      <c r="N358" s="1"/>
    </row>
    <row r="359" spans="2:14">
      <c r="B359" s="1"/>
      <c r="C359" s="1"/>
      <c r="D359" s="1"/>
      <c r="E359" s="1"/>
      <c r="F359" s="1"/>
      <c r="G359" s="1"/>
      <c r="H359" s="1"/>
      <c r="I359" s="1"/>
      <c r="J359" s="1"/>
      <c r="K359" s="1"/>
      <c r="L359" s="1"/>
      <c r="M359" s="1"/>
      <c r="N359" s="1"/>
    </row>
    <row r="360" spans="2:14">
      <c r="B360" s="1"/>
      <c r="C360" s="1"/>
      <c r="D360" s="1"/>
      <c r="E360" s="1"/>
      <c r="F360" s="1"/>
      <c r="G360" s="1"/>
      <c r="H360" s="1"/>
      <c r="I360" s="1"/>
      <c r="J360" s="1"/>
      <c r="K360" s="1"/>
      <c r="L360" s="1"/>
      <c r="M360" s="1"/>
      <c r="N360" s="1"/>
    </row>
    <row r="361" spans="2:14">
      <c r="B361" s="1"/>
      <c r="C361" s="1"/>
      <c r="D361" s="1"/>
      <c r="E361" s="1"/>
      <c r="F361" s="1"/>
      <c r="G361" s="1"/>
      <c r="H361" s="1"/>
      <c r="I361" s="1"/>
      <c r="J361" s="1"/>
      <c r="K361" s="1"/>
      <c r="L361" s="1"/>
      <c r="M361" s="1"/>
      <c r="N361" s="1"/>
    </row>
    <row r="362" spans="2:14">
      <c r="B362" s="1"/>
      <c r="C362" s="1"/>
      <c r="D362" s="1"/>
      <c r="E362" s="1"/>
      <c r="F362" s="1"/>
      <c r="G362" s="1"/>
      <c r="H362" s="1"/>
      <c r="I362" s="1"/>
      <c r="J362" s="1"/>
      <c r="K362" s="1"/>
      <c r="L362" s="1"/>
      <c r="M362" s="1"/>
      <c r="N362" s="1"/>
    </row>
    <row r="363" spans="2:14">
      <c r="B363" s="1"/>
      <c r="C363" s="1"/>
      <c r="D363" s="1"/>
      <c r="E363" s="1"/>
      <c r="F363" s="1"/>
      <c r="G363" s="1"/>
      <c r="H363" s="1"/>
      <c r="I363" s="1"/>
      <c r="J363" s="1"/>
      <c r="K363" s="1"/>
      <c r="L363" s="1"/>
      <c r="M363" s="1"/>
      <c r="N363" s="1"/>
    </row>
    <row r="364" spans="2:14">
      <c r="B364" s="1"/>
      <c r="C364" s="1"/>
      <c r="D364" s="1"/>
      <c r="E364" s="1"/>
      <c r="F364" s="1"/>
      <c r="G364" s="1"/>
      <c r="H364" s="1"/>
      <c r="I364" s="1"/>
      <c r="J364" s="1"/>
      <c r="K364" s="1"/>
      <c r="L364" s="1"/>
      <c r="M364" s="1"/>
      <c r="N364" s="1"/>
    </row>
    <row r="365" spans="2:14">
      <c r="B365" s="1"/>
      <c r="C365" s="1"/>
      <c r="D365" s="1"/>
      <c r="E365" s="1"/>
      <c r="F365" s="1"/>
      <c r="G365" s="1"/>
      <c r="H365" s="1"/>
      <c r="I365" s="1"/>
      <c r="J365" s="1"/>
      <c r="K365" s="1"/>
      <c r="L365" s="1"/>
      <c r="M365" s="1"/>
      <c r="N365" s="1"/>
    </row>
    <row r="366" spans="2:14">
      <c r="B366" s="1"/>
      <c r="C366" s="1"/>
      <c r="D366" s="1"/>
      <c r="E366" s="1"/>
      <c r="F366" s="1"/>
      <c r="G366" s="1"/>
      <c r="H366" s="1"/>
      <c r="I366" s="1"/>
      <c r="J366" s="1"/>
      <c r="K366" s="1"/>
      <c r="L366" s="1"/>
      <c r="M366" s="1"/>
      <c r="N366" s="1"/>
    </row>
    <row r="367" spans="2:14">
      <c r="B367" s="1"/>
      <c r="C367" s="1"/>
      <c r="D367" s="1"/>
      <c r="E367" s="1"/>
      <c r="F367" s="1"/>
      <c r="G367" s="1"/>
      <c r="H367" s="1"/>
      <c r="I367" s="1"/>
      <c r="J367" s="1"/>
      <c r="K367" s="1"/>
      <c r="L367" s="1"/>
      <c r="M367" s="1"/>
      <c r="N367" s="1"/>
    </row>
    <row r="368" spans="2:14">
      <c r="B368" s="1"/>
      <c r="C368" s="1"/>
      <c r="D368" s="1"/>
      <c r="E368" s="1"/>
      <c r="F368" s="1"/>
      <c r="G368" s="1"/>
      <c r="H368" s="1"/>
      <c r="I368" s="1"/>
      <c r="J368" s="1"/>
      <c r="K368" s="1"/>
      <c r="L368" s="1"/>
      <c r="M368" s="1"/>
      <c r="N368" s="1"/>
    </row>
    <row r="369" spans="2:14">
      <c r="B369" s="1"/>
      <c r="C369" s="1"/>
      <c r="D369" s="1"/>
      <c r="E369" s="1"/>
      <c r="F369" s="1"/>
      <c r="G369" s="1"/>
      <c r="H369" s="1"/>
      <c r="I369" s="1"/>
      <c r="J369" s="1"/>
      <c r="K369" s="1"/>
      <c r="L369" s="1"/>
      <c r="M369" s="1"/>
      <c r="N369" s="1"/>
    </row>
    <row r="370" spans="2:14">
      <c r="B370" s="1"/>
      <c r="C370" s="1"/>
      <c r="D370" s="1"/>
      <c r="E370" s="1"/>
      <c r="F370" s="1"/>
      <c r="G370" s="1"/>
      <c r="H370" s="1"/>
      <c r="I370" s="1"/>
      <c r="J370" s="1"/>
      <c r="K370" s="1"/>
      <c r="L370" s="1"/>
      <c r="M370" s="1"/>
      <c r="N370" s="1"/>
    </row>
    <row r="371" spans="2:14">
      <c r="B371" s="1"/>
      <c r="C371" s="1"/>
      <c r="D371" s="1"/>
      <c r="E371" s="1"/>
      <c r="F371" s="1"/>
      <c r="G371" s="1"/>
      <c r="H371" s="1"/>
      <c r="I371" s="1"/>
      <c r="J371" s="1"/>
      <c r="K371" s="1"/>
      <c r="L371" s="1"/>
      <c r="M371" s="1"/>
      <c r="N371" s="1"/>
    </row>
    <row r="372" spans="2:14">
      <c r="B372" s="1"/>
      <c r="C372" s="1"/>
      <c r="D372" s="1"/>
      <c r="E372" s="1"/>
      <c r="F372" s="1"/>
      <c r="G372" s="1"/>
      <c r="H372" s="1"/>
      <c r="I372" s="1"/>
      <c r="J372" s="1"/>
      <c r="K372" s="1"/>
      <c r="L372" s="1"/>
      <c r="M372" s="1"/>
      <c r="N372" s="1"/>
    </row>
    <row r="373" spans="2:14">
      <c r="B373" s="1"/>
      <c r="C373" s="1"/>
      <c r="D373" s="1"/>
      <c r="E373" s="1"/>
      <c r="F373" s="1"/>
      <c r="G373" s="1"/>
      <c r="H373" s="1"/>
      <c r="I373" s="1"/>
      <c r="J373" s="1"/>
      <c r="K373" s="1"/>
      <c r="L373" s="1"/>
      <c r="M373" s="1"/>
      <c r="N373" s="1"/>
    </row>
    <row r="374" spans="2:14">
      <c r="B374" s="1"/>
      <c r="C374" s="1"/>
      <c r="D374" s="1"/>
      <c r="E374" s="1"/>
      <c r="F374" s="1"/>
      <c r="G374" s="1"/>
      <c r="H374" s="1"/>
      <c r="I374" s="1"/>
      <c r="J374" s="1"/>
      <c r="K374" s="1"/>
      <c r="L374" s="1"/>
      <c r="M374" s="1"/>
      <c r="N374" s="1"/>
    </row>
    <row r="375" spans="2:14">
      <c r="B375" s="1"/>
      <c r="C375" s="1"/>
      <c r="D375" s="1"/>
      <c r="E375" s="1"/>
      <c r="F375" s="1"/>
      <c r="G375" s="1"/>
      <c r="H375" s="1"/>
      <c r="I375" s="1"/>
      <c r="J375" s="1"/>
      <c r="K375" s="1"/>
      <c r="L375" s="1"/>
      <c r="M375" s="1"/>
      <c r="N375" s="1"/>
    </row>
    <row r="376" spans="2:14">
      <c r="B376" s="1"/>
      <c r="C376" s="1"/>
      <c r="D376" s="1"/>
      <c r="E376" s="1"/>
      <c r="F376" s="1"/>
      <c r="G376" s="1"/>
      <c r="H376" s="1"/>
      <c r="I376" s="1"/>
      <c r="J376" s="1"/>
      <c r="K376" s="1"/>
      <c r="L376" s="1"/>
      <c r="M376" s="1"/>
      <c r="N376" s="1"/>
    </row>
    <row r="377" spans="2:14">
      <c r="B377" s="1"/>
      <c r="C377" s="1"/>
      <c r="D377" s="1"/>
      <c r="E377" s="1"/>
      <c r="F377" s="1"/>
      <c r="G377" s="1"/>
      <c r="H377" s="1"/>
      <c r="I377" s="1"/>
      <c r="J377" s="1"/>
      <c r="K377" s="1"/>
      <c r="L377" s="1"/>
      <c r="M377" s="1"/>
      <c r="N377" s="1"/>
    </row>
    <row r="378" spans="2:14">
      <c r="B378" s="1"/>
      <c r="C378" s="1"/>
      <c r="D378" s="1"/>
      <c r="E378" s="1"/>
      <c r="F378" s="1"/>
      <c r="G378" s="1"/>
      <c r="H378" s="1"/>
      <c r="I378" s="1"/>
      <c r="J378" s="1"/>
      <c r="K378" s="1"/>
      <c r="L378" s="1"/>
      <c r="M378" s="1"/>
      <c r="N378" s="1"/>
    </row>
    <row r="379" spans="2:14">
      <c r="B379" s="1"/>
      <c r="C379" s="1"/>
      <c r="D379" s="1"/>
      <c r="E379" s="1"/>
      <c r="F379" s="1"/>
      <c r="G379" s="1"/>
      <c r="H379" s="1"/>
      <c r="I379" s="1"/>
      <c r="J379" s="1"/>
      <c r="K379" s="1"/>
      <c r="L379" s="1"/>
      <c r="M379" s="1"/>
      <c r="N379" s="1"/>
    </row>
    <row r="380" spans="2:14">
      <c r="B380" s="1"/>
      <c r="C380" s="1"/>
      <c r="D380" s="1"/>
      <c r="E380" s="1"/>
      <c r="F380" s="1"/>
      <c r="G380" s="1"/>
      <c r="H380" s="1"/>
      <c r="I380" s="1"/>
      <c r="J380" s="1"/>
      <c r="K380" s="1"/>
      <c r="L380" s="1"/>
      <c r="M380" s="1"/>
      <c r="N380" s="1"/>
    </row>
    <row r="381" spans="2:14">
      <c r="B381" s="1"/>
      <c r="C381" s="1"/>
      <c r="D381" s="1"/>
      <c r="E381" s="1"/>
      <c r="F381" s="1"/>
      <c r="G381" s="1"/>
      <c r="H381" s="1"/>
      <c r="I381" s="1"/>
      <c r="J381" s="1"/>
      <c r="K381" s="1"/>
      <c r="L381" s="1"/>
      <c r="M381" s="1"/>
      <c r="N381" s="1"/>
    </row>
    <row r="382" spans="2:14">
      <c r="B382" s="1"/>
      <c r="C382" s="1"/>
      <c r="D382" s="1"/>
      <c r="E382" s="1"/>
      <c r="F382" s="1"/>
      <c r="G382" s="1"/>
      <c r="H382" s="1"/>
      <c r="I382" s="1"/>
      <c r="J382" s="1"/>
      <c r="K382" s="1"/>
      <c r="L382" s="1"/>
      <c r="M382" s="1"/>
      <c r="N382" s="1"/>
    </row>
    <row r="383" spans="2:14">
      <c r="B383" s="1"/>
      <c r="C383" s="1"/>
      <c r="D383" s="1"/>
      <c r="E383" s="1"/>
      <c r="F383" s="1"/>
      <c r="G383" s="1"/>
      <c r="H383" s="1"/>
      <c r="I383" s="1"/>
      <c r="J383" s="1"/>
      <c r="K383" s="1"/>
      <c r="L383" s="1"/>
      <c r="M383" s="1"/>
      <c r="N383" s="1"/>
    </row>
    <row r="384" spans="2:14">
      <c r="B384" s="1"/>
      <c r="C384" s="1"/>
      <c r="D384" s="1"/>
      <c r="E384" s="1"/>
      <c r="F384" s="1"/>
      <c r="G384" s="1"/>
      <c r="H384" s="1"/>
      <c r="I384" s="1"/>
      <c r="J384" s="1"/>
      <c r="K384" s="1"/>
      <c r="L384" s="1"/>
      <c r="M384" s="1"/>
      <c r="N384" s="1"/>
    </row>
    <row r="385" spans="2:14">
      <c r="B385" s="1"/>
      <c r="C385" s="1"/>
      <c r="D385" s="1"/>
      <c r="E385" s="1"/>
      <c r="F385" s="1"/>
      <c r="G385" s="1"/>
      <c r="H385" s="1"/>
      <c r="I385" s="1"/>
      <c r="J385" s="1"/>
      <c r="K385" s="1"/>
      <c r="L385" s="1"/>
      <c r="M385" s="1"/>
      <c r="N385" s="1"/>
    </row>
    <row r="386" spans="2:14">
      <c r="B386" s="1"/>
      <c r="C386" s="1"/>
      <c r="D386" s="1"/>
      <c r="E386" s="1"/>
      <c r="F386" s="1"/>
      <c r="G386" s="1"/>
      <c r="H386" s="1"/>
      <c r="I386" s="1"/>
      <c r="J386" s="1"/>
      <c r="K386" s="1"/>
      <c r="L386" s="1"/>
      <c r="M386" s="1"/>
      <c r="N386" s="1"/>
    </row>
    <row r="387" spans="2:14">
      <c r="B387" s="1"/>
      <c r="C387" s="1"/>
      <c r="D387" s="1"/>
      <c r="E387" s="1"/>
      <c r="F387" s="1"/>
      <c r="G387" s="1"/>
      <c r="H387" s="1"/>
      <c r="I387" s="1"/>
      <c r="J387" s="1"/>
      <c r="K387" s="1"/>
      <c r="L387" s="1"/>
      <c r="M387" s="1"/>
      <c r="N387" s="1"/>
    </row>
    <row r="388" spans="2:14">
      <c r="B388" s="1"/>
      <c r="C388" s="1"/>
      <c r="D388" s="1"/>
      <c r="E388" s="1"/>
      <c r="F388" s="1"/>
      <c r="G388" s="1"/>
      <c r="H388" s="1"/>
      <c r="I388" s="1"/>
      <c r="J388" s="1"/>
      <c r="K388" s="1"/>
      <c r="L388" s="1"/>
      <c r="M388" s="1"/>
      <c r="N388" s="1"/>
    </row>
    <row r="389" spans="2:14">
      <c r="B389" s="1"/>
      <c r="C389" s="1"/>
      <c r="D389" s="1"/>
      <c r="E389" s="1"/>
      <c r="F389" s="1"/>
      <c r="G389" s="1"/>
      <c r="H389" s="1"/>
      <c r="I389" s="1"/>
      <c r="J389" s="1"/>
      <c r="K389" s="1"/>
      <c r="L389" s="1"/>
      <c r="M389" s="1"/>
      <c r="N389" s="1"/>
    </row>
    <row r="390" spans="2:14">
      <c r="B390" s="1"/>
      <c r="C390" s="1"/>
      <c r="D390" s="1"/>
      <c r="E390" s="1"/>
      <c r="F390" s="1"/>
      <c r="G390" s="1"/>
      <c r="H390" s="1"/>
      <c r="I390" s="1"/>
      <c r="J390" s="1"/>
      <c r="K390" s="1"/>
      <c r="L390" s="1"/>
      <c r="M390" s="1"/>
      <c r="N390" s="1"/>
    </row>
    <row r="391" spans="2:14">
      <c r="B391" s="1"/>
      <c r="C391" s="1"/>
      <c r="D391" s="1"/>
      <c r="E391" s="1"/>
      <c r="F391" s="1"/>
      <c r="G391" s="1"/>
      <c r="H391" s="1"/>
      <c r="I391" s="1"/>
      <c r="J391" s="1"/>
      <c r="K391" s="1"/>
      <c r="L391" s="1"/>
      <c r="M391" s="1"/>
      <c r="N391" s="1"/>
    </row>
    <row r="392" spans="2:14">
      <c r="B392" s="1"/>
      <c r="C392" s="1"/>
      <c r="D392" s="1"/>
      <c r="E392" s="1"/>
      <c r="F392" s="1"/>
      <c r="G392" s="1"/>
      <c r="H392" s="1"/>
      <c r="I392" s="1"/>
      <c r="J392" s="1"/>
      <c r="K392" s="1"/>
      <c r="L392" s="1"/>
      <c r="M392" s="1"/>
      <c r="N392" s="1"/>
    </row>
    <row r="393" spans="2:14">
      <c r="B393" s="1"/>
      <c r="C393" s="1"/>
      <c r="D393" s="1"/>
      <c r="E393" s="1"/>
      <c r="F393" s="1"/>
      <c r="G393" s="1"/>
      <c r="H393" s="1"/>
      <c r="I393" s="1"/>
      <c r="J393" s="1"/>
      <c r="K393" s="1"/>
      <c r="L393" s="1"/>
      <c r="M393" s="1"/>
      <c r="N393" s="1"/>
    </row>
    <row r="394" spans="2:14">
      <c r="B394" s="1"/>
      <c r="C394" s="1"/>
      <c r="D394" s="1"/>
      <c r="E394" s="1"/>
      <c r="F394" s="1"/>
      <c r="G394" s="1"/>
      <c r="H394" s="1"/>
      <c r="I394" s="1"/>
      <c r="J394" s="1"/>
      <c r="K394" s="1"/>
      <c r="L394" s="1"/>
      <c r="M394" s="1"/>
      <c r="N394" s="1"/>
    </row>
    <row r="395" spans="2:14">
      <c r="B395" s="1"/>
      <c r="C395" s="1"/>
      <c r="D395" s="1"/>
      <c r="E395" s="1"/>
      <c r="F395" s="1"/>
      <c r="G395" s="1"/>
      <c r="H395" s="1"/>
      <c r="I395" s="1"/>
      <c r="J395" s="1"/>
      <c r="K395" s="1"/>
      <c r="L395" s="1"/>
      <c r="M395" s="1"/>
      <c r="N395" s="1"/>
    </row>
    <row r="396" spans="2:14">
      <c r="B396" s="1"/>
      <c r="C396" s="1"/>
      <c r="D396" s="1"/>
      <c r="E396" s="1"/>
      <c r="F396" s="1"/>
      <c r="G396" s="1"/>
      <c r="H396" s="1"/>
      <c r="I396" s="1"/>
      <c r="J396" s="1"/>
      <c r="K396" s="1"/>
      <c r="L396" s="1"/>
      <c r="M396" s="1"/>
      <c r="N396" s="1"/>
    </row>
    <row r="397" spans="2:14">
      <c r="B397" s="1"/>
      <c r="C397" s="1"/>
      <c r="D397" s="1"/>
      <c r="E397" s="1"/>
      <c r="F397" s="1"/>
      <c r="G397" s="1"/>
      <c r="H397" s="1"/>
      <c r="I397" s="1"/>
      <c r="J397" s="1"/>
      <c r="K397" s="1"/>
      <c r="L397" s="1"/>
      <c r="M397" s="1"/>
      <c r="N397" s="1"/>
    </row>
    <row r="398" spans="2:14">
      <c r="B398" s="1"/>
      <c r="C398" s="1"/>
      <c r="D398" s="1"/>
      <c r="E398" s="1"/>
      <c r="F398" s="1"/>
      <c r="G398" s="1"/>
      <c r="H398" s="1"/>
      <c r="I398" s="1"/>
      <c r="J398" s="1"/>
      <c r="K398" s="1"/>
      <c r="L398" s="1"/>
      <c r="M398" s="1"/>
      <c r="N398" s="1"/>
    </row>
    <row r="399" spans="2:14">
      <c r="B399" s="1"/>
      <c r="C399" s="1"/>
      <c r="D399" s="1"/>
      <c r="E399" s="1"/>
      <c r="F399" s="1"/>
      <c r="G399" s="1"/>
      <c r="H399" s="1"/>
      <c r="I399" s="1"/>
      <c r="J399" s="1"/>
      <c r="K399" s="1"/>
      <c r="L399" s="1"/>
      <c r="M399" s="1"/>
      <c r="N399" s="1"/>
    </row>
    <row r="400" spans="2:14">
      <c r="B400" s="1"/>
      <c r="C400" s="1"/>
      <c r="D400" s="1"/>
      <c r="E400" s="1"/>
      <c r="F400" s="1"/>
      <c r="G400" s="1"/>
      <c r="H400" s="1"/>
      <c r="I400" s="1"/>
      <c r="J400" s="1"/>
      <c r="K400" s="1"/>
      <c r="L400" s="1"/>
      <c r="M400" s="1"/>
      <c r="N400" s="1"/>
    </row>
  </sheetData>
  <mergeCells count="20">
    <mergeCell ref="C46:D46"/>
    <mergeCell ref="E46:F46"/>
    <mergeCell ref="B49:N49"/>
    <mergeCell ref="C51:N55"/>
    <mergeCell ref="B57:N57"/>
    <mergeCell ref="E30:N30"/>
    <mergeCell ref="E31:N31"/>
    <mergeCell ref="E32:N32"/>
    <mergeCell ref="E33:N33"/>
    <mergeCell ref="B35:N35"/>
    <mergeCell ref="B24:N24"/>
    <mergeCell ref="E26:N26"/>
    <mergeCell ref="E27:N27"/>
    <mergeCell ref="E28:N28"/>
    <mergeCell ref="E29:N29"/>
    <mergeCell ref="B2:N2"/>
    <mergeCell ref="B3:N3"/>
    <mergeCell ref="B5:N5"/>
    <mergeCell ref="B7:N7"/>
    <mergeCell ref="B16:N16"/>
  </mergeCells>
  <conditionalFormatting sqref="E46:F46">
    <cfRule type="containsText" dxfId="5" priority="3" operator="containsText" text="MODEL OK"/>
  </conditionalFormatting>
  <conditionalFormatting sqref="F38:F45">
    <cfRule type="containsText" dxfId="4" priority="1" operator="containsText" text="OK"/>
    <cfRule type="containsText" dxfId="3" priority="2" operator="containsText" text="CHECK"/>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C400"/>
  <sheetViews>
    <sheetView showGridLines="0" tabSelected="1" topLeftCell="A10" zoomScale="70" zoomScaleNormal="70" workbookViewId="0">
      <selection activeCell="K105" sqref="K105"/>
    </sheetView>
  </sheetViews>
  <sheetFormatPr defaultRowHeight="14"/>
  <cols>
    <col min="1" max="1" width="3" customWidth="1"/>
    <col min="2" max="2" width="4" customWidth="1"/>
    <col min="3" max="3" width="24" customWidth="1"/>
    <col min="4" max="4" width="13" customWidth="1"/>
    <col min="5" max="5" width="16" customWidth="1"/>
    <col min="6" max="6" width="30" customWidth="1"/>
    <col min="7" max="22" width="11" customWidth="1"/>
  </cols>
  <sheetData>
    <row r="1" spans="2:22">
      <c r="B1" s="1"/>
      <c r="C1" s="1"/>
      <c r="D1" s="1"/>
      <c r="E1" s="1"/>
      <c r="F1" s="1"/>
      <c r="G1" s="1"/>
      <c r="H1" s="1"/>
      <c r="I1" s="1"/>
      <c r="J1" s="1"/>
      <c r="K1" s="1"/>
      <c r="L1" s="1"/>
      <c r="M1" s="1"/>
      <c r="N1" s="1"/>
      <c r="O1" s="1"/>
      <c r="P1" s="1"/>
      <c r="Q1" s="1"/>
      <c r="R1" s="1"/>
      <c r="S1" s="1"/>
      <c r="T1" s="1"/>
      <c r="U1" s="1"/>
      <c r="V1" s="1"/>
    </row>
    <row r="2" spans="2:22" ht="32" customHeight="1">
      <c r="B2" s="194" t="s">
        <v>87</v>
      </c>
      <c r="C2" s="194"/>
      <c r="D2" s="194"/>
      <c r="E2" s="194"/>
      <c r="F2" s="194"/>
      <c r="G2" s="194"/>
      <c r="H2" s="194"/>
      <c r="I2" s="194"/>
      <c r="J2" s="194"/>
      <c r="K2" s="194"/>
      <c r="L2" s="194"/>
      <c r="M2" s="194"/>
      <c r="N2" s="194"/>
      <c r="O2" s="194"/>
      <c r="P2" s="194"/>
      <c r="Q2" s="194"/>
      <c r="R2" s="194"/>
      <c r="S2" s="194"/>
      <c r="T2" s="194"/>
      <c r="U2" s="194"/>
      <c r="V2" s="194"/>
    </row>
    <row r="3" spans="2:22" ht="22" customHeight="1">
      <c r="B3" s="195" t="s">
        <v>88</v>
      </c>
      <c r="C3" s="195"/>
      <c r="D3" s="195"/>
      <c r="E3" s="195"/>
      <c r="F3" s="195"/>
      <c r="G3" s="195"/>
      <c r="H3" s="195"/>
      <c r="I3" s="195"/>
      <c r="J3" s="195"/>
      <c r="K3" s="195"/>
      <c r="L3" s="195"/>
      <c r="M3" s="195"/>
      <c r="N3" s="195"/>
      <c r="O3" s="195"/>
      <c r="P3" s="195"/>
      <c r="Q3" s="195"/>
      <c r="R3" s="195"/>
      <c r="S3" s="195"/>
      <c r="T3" s="195"/>
      <c r="U3" s="195"/>
      <c r="V3" s="195"/>
    </row>
    <row r="4" spans="2:22">
      <c r="B4" s="1"/>
      <c r="C4" s="1"/>
      <c r="D4" s="1"/>
      <c r="E4" s="1"/>
      <c r="F4" s="1"/>
      <c r="G4" s="1"/>
      <c r="H4" s="1"/>
      <c r="I4" s="1"/>
      <c r="J4" s="1"/>
      <c r="K4" s="1"/>
      <c r="L4" s="1"/>
      <c r="M4" s="1"/>
      <c r="N4" s="1"/>
      <c r="O4" s="1"/>
      <c r="P4" s="1"/>
      <c r="Q4" s="1"/>
      <c r="R4" s="1"/>
      <c r="S4" s="1"/>
      <c r="T4" s="1"/>
      <c r="U4" s="1"/>
      <c r="V4" s="1"/>
    </row>
    <row r="5" spans="2:22">
      <c r="B5" s="1"/>
      <c r="C5" s="1"/>
      <c r="D5" s="1"/>
      <c r="E5" s="1"/>
      <c r="F5" s="1"/>
      <c r="G5" s="1"/>
      <c r="H5" s="1"/>
      <c r="I5" s="1"/>
      <c r="J5" s="1"/>
      <c r="K5" s="1"/>
      <c r="L5" s="1"/>
      <c r="M5" s="1"/>
      <c r="N5" s="1"/>
      <c r="O5" s="152" t="s">
        <v>21</v>
      </c>
      <c r="P5" s="152" t="s">
        <v>24</v>
      </c>
      <c r="Q5" s="152" t="s">
        <v>27</v>
      </c>
      <c r="R5" s="152" t="s">
        <v>30</v>
      </c>
      <c r="S5" s="1"/>
      <c r="T5" s="1"/>
      <c r="U5" s="1"/>
      <c r="V5" s="1"/>
    </row>
    <row r="6" spans="2:22">
      <c r="B6" s="1"/>
      <c r="C6" s="1"/>
      <c r="D6" s="1"/>
      <c r="E6" s="1"/>
      <c r="F6" s="1"/>
      <c r="G6" s="1"/>
      <c r="H6" s="1"/>
      <c r="I6" s="1"/>
      <c r="J6" s="1"/>
      <c r="K6" s="1"/>
      <c r="L6" s="1"/>
      <c r="M6" s="1"/>
      <c r="N6" s="1"/>
      <c r="O6" s="1"/>
      <c r="P6" s="1"/>
      <c r="Q6" s="1"/>
      <c r="R6" s="1"/>
      <c r="S6" s="1"/>
      <c r="T6" s="1"/>
      <c r="U6" s="1"/>
      <c r="V6" s="1"/>
    </row>
    <row r="7" spans="2:22" ht="21" customHeight="1">
      <c r="B7" s="177" t="s">
        <v>89</v>
      </c>
      <c r="C7" s="177"/>
      <c r="D7" s="177"/>
      <c r="E7" s="177"/>
      <c r="F7" s="177"/>
      <c r="G7" s="177"/>
      <c r="H7" s="177"/>
      <c r="I7" s="177"/>
      <c r="J7" s="177"/>
      <c r="K7" s="177"/>
      <c r="L7" s="177"/>
      <c r="M7" s="177"/>
      <c r="N7" s="177"/>
      <c r="O7" s="177"/>
      <c r="P7" s="177"/>
      <c r="Q7" s="177"/>
      <c r="R7" s="177"/>
      <c r="S7" s="177"/>
      <c r="T7" s="177"/>
      <c r="U7" s="177"/>
      <c r="V7" s="177"/>
    </row>
    <row r="8" spans="2:22">
      <c r="B8" s="1"/>
      <c r="C8" s="1"/>
      <c r="D8" s="1"/>
      <c r="E8" s="1"/>
      <c r="F8" s="1"/>
      <c r="G8" s="1"/>
      <c r="H8" s="1"/>
      <c r="I8" s="1"/>
      <c r="J8" s="1"/>
      <c r="K8" s="1"/>
      <c r="L8" s="1"/>
      <c r="M8" s="1"/>
      <c r="N8" s="1"/>
      <c r="O8" s="1"/>
      <c r="P8" s="1"/>
      <c r="Q8" s="1"/>
      <c r="R8" s="1"/>
      <c r="S8" s="1"/>
      <c r="T8" s="1"/>
      <c r="U8" s="1"/>
      <c r="V8" s="1"/>
    </row>
    <row r="9" spans="2:22">
      <c r="B9" s="1"/>
      <c r="C9" s="196" t="s">
        <v>90</v>
      </c>
      <c r="D9" s="196"/>
      <c r="E9" s="196"/>
      <c r="F9" s="196"/>
      <c r="G9" s="196" t="s">
        <v>91</v>
      </c>
      <c r="H9" s="196"/>
      <c r="I9" s="196"/>
      <c r="J9" s="196"/>
      <c r="K9" s="196" t="s">
        <v>92</v>
      </c>
      <c r="L9" s="196"/>
      <c r="M9" s="196"/>
      <c r="N9" s="196"/>
      <c r="O9" s="196" t="s">
        <v>93</v>
      </c>
      <c r="P9" s="196"/>
      <c r="Q9" s="196"/>
      <c r="R9" s="196"/>
      <c r="S9" s="196" t="s">
        <v>94</v>
      </c>
      <c r="T9" s="196"/>
      <c r="U9" s="196"/>
      <c r="V9" s="196"/>
    </row>
    <row r="10" spans="2:22">
      <c r="B10" s="1"/>
      <c r="C10" s="197" t="s">
        <v>95</v>
      </c>
      <c r="D10" s="198"/>
      <c r="E10" s="198"/>
      <c r="F10" s="199"/>
      <c r="G10" s="197" t="s">
        <v>96</v>
      </c>
      <c r="H10" s="198"/>
      <c r="I10" s="198"/>
      <c r="J10" s="199"/>
      <c r="K10" s="206" t="str">
        <f>IF(AND(Model!N172="OK",COUNTIF(Inputs!H262:H301,"CHECK")=0),"OK","CHECK")</f>
        <v>OK</v>
      </c>
      <c r="L10" s="207"/>
      <c r="M10" s="207"/>
      <c r="N10" s="208"/>
      <c r="O10" s="215">
        <f>Model!N160</f>
        <v>57.200881723456213</v>
      </c>
      <c r="P10" s="216"/>
      <c r="Q10" s="216"/>
      <c r="R10" s="217"/>
      <c r="S10" s="215">
        <f>Inputs!D152</f>
        <v>40.76</v>
      </c>
      <c r="T10" s="216"/>
      <c r="U10" s="216"/>
      <c r="V10" s="217"/>
    </row>
    <row r="11" spans="2:22">
      <c r="B11" s="1"/>
      <c r="C11" s="200"/>
      <c r="D11" s="201"/>
      <c r="E11" s="201"/>
      <c r="F11" s="202"/>
      <c r="G11" s="200"/>
      <c r="H11" s="201"/>
      <c r="I11" s="201"/>
      <c r="J11" s="202"/>
      <c r="K11" s="209"/>
      <c r="L11" s="210"/>
      <c r="M11" s="210"/>
      <c r="N11" s="211"/>
      <c r="O11" s="218"/>
      <c r="P11" s="219"/>
      <c r="Q11" s="219"/>
      <c r="R11" s="220"/>
      <c r="S11" s="218"/>
      <c r="T11" s="219"/>
      <c r="U11" s="219"/>
      <c r="V11" s="220"/>
    </row>
    <row r="12" spans="2:22">
      <c r="B12" s="1"/>
      <c r="C12" s="203"/>
      <c r="D12" s="204"/>
      <c r="E12" s="204"/>
      <c r="F12" s="205"/>
      <c r="G12" s="203"/>
      <c r="H12" s="204"/>
      <c r="I12" s="204"/>
      <c r="J12" s="205"/>
      <c r="K12" s="212"/>
      <c r="L12" s="213"/>
      <c r="M12" s="213"/>
      <c r="N12" s="214"/>
      <c r="O12" s="221"/>
      <c r="P12" s="222"/>
      <c r="Q12" s="222"/>
      <c r="R12" s="223"/>
      <c r="S12" s="221"/>
      <c r="T12" s="222"/>
      <c r="U12" s="222"/>
      <c r="V12" s="223"/>
    </row>
    <row r="13" spans="2:22">
      <c r="B13" s="1"/>
      <c r="C13" s="1"/>
      <c r="D13" s="1"/>
      <c r="E13" s="1"/>
      <c r="F13" s="1"/>
      <c r="G13" s="1"/>
      <c r="H13" s="1"/>
      <c r="I13" s="1"/>
      <c r="J13" s="1"/>
      <c r="K13" s="1"/>
      <c r="L13" s="1"/>
      <c r="M13" s="1"/>
      <c r="N13" s="1"/>
      <c r="O13" s="1"/>
      <c r="P13" s="1"/>
      <c r="Q13" s="1"/>
      <c r="R13" s="1"/>
      <c r="S13" s="1"/>
      <c r="T13" s="1"/>
      <c r="U13" s="1"/>
      <c r="V13" s="1"/>
    </row>
    <row r="14" spans="2:22" ht="25" customHeight="1">
      <c r="B14" s="1"/>
      <c r="C14" s="224" t="str">
        <f>IF(Model!N162&gt;Inputs!$M$150,"RECOMMENDATION: APPROVE PROJECT NEXT RUN WITH MILESTONE-BASED FUNDING",IF(Model!N162&gt;0%,"RECOMMENDATION: APPROVE SELECTIVELY — PROTECT MARGINS AND CASH","RECOMMENDATION: DEFER AND REASSESS CAPITAL ALLOCATION"))</f>
        <v>RECOMMENDATION: APPROVE PROJECT NEXT RUN WITH MILESTONE-BASED FUNDING</v>
      </c>
      <c r="D14" s="225"/>
      <c r="E14" s="225"/>
      <c r="F14" s="225"/>
      <c r="G14" s="225"/>
      <c r="H14" s="225"/>
      <c r="I14" s="225"/>
      <c r="J14" s="225"/>
      <c r="K14" s="225"/>
      <c r="L14" s="225"/>
      <c r="M14" s="225"/>
      <c r="N14" s="225"/>
      <c r="O14" s="225"/>
      <c r="P14" s="225"/>
      <c r="Q14" s="225"/>
      <c r="R14" s="225"/>
      <c r="S14" s="225"/>
      <c r="T14" s="225"/>
      <c r="U14" s="226"/>
      <c r="V14" s="1"/>
    </row>
    <row r="15" spans="2:22">
      <c r="B15" s="1"/>
      <c r="C15" s="1"/>
      <c r="D15" s="1"/>
      <c r="E15" s="1"/>
      <c r="F15" s="1"/>
      <c r="G15" s="1"/>
      <c r="H15" s="1"/>
      <c r="I15" s="1"/>
      <c r="J15" s="1"/>
      <c r="K15" s="1"/>
      <c r="L15" s="1"/>
      <c r="M15" s="1"/>
      <c r="N15" s="1"/>
      <c r="O15" s="1"/>
      <c r="P15" s="1"/>
      <c r="Q15" s="1"/>
      <c r="R15" s="1"/>
      <c r="S15" s="1"/>
      <c r="T15" s="1"/>
      <c r="U15" s="1"/>
      <c r="V15" s="1"/>
    </row>
    <row r="16" spans="2:22" ht="21" customHeight="1">
      <c r="B16" s="177" t="s">
        <v>97</v>
      </c>
      <c r="C16" s="177"/>
      <c r="D16" s="177"/>
      <c r="E16" s="177"/>
      <c r="F16" s="177"/>
      <c r="G16" s="177"/>
      <c r="H16" s="177"/>
      <c r="I16" s="177"/>
      <c r="J16" s="177"/>
      <c r="K16" s="177"/>
      <c r="L16" s="177"/>
      <c r="M16" s="177"/>
      <c r="N16" s="177"/>
      <c r="O16" s="177"/>
      <c r="P16" s="177"/>
      <c r="Q16" s="177"/>
      <c r="R16" s="177"/>
      <c r="S16" s="177"/>
      <c r="T16" s="177"/>
      <c r="U16" s="177"/>
      <c r="V16" s="177"/>
    </row>
    <row r="17" spans="2:22">
      <c r="B17" s="1"/>
      <c r="C17" s="1"/>
      <c r="D17" s="1"/>
      <c r="E17" s="1"/>
      <c r="F17" s="1"/>
      <c r="G17" s="1"/>
      <c r="H17" s="1"/>
      <c r="I17" s="1"/>
      <c r="J17" s="1"/>
      <c r="K17" s="1"/>
      <c r="L17" s="1"/>
      <c r="M17" s="1"/>
      <c r="N17" s="1"/>
      <c r="O17" s="1"/>
      <c r="P17" s="1"/>
      <c r="Q17" s="1"/>
      <c r="R17" s="1"/>
      <c r="S17" s="1"/>
      <c r="T17" s="1"/>
      <c r="U17" s="1"/>
      <c r="V17" s="1"/>
    </row>
    <row r="18" spans="2:22">
      <c r="B18" s="1"/>
      <c r="C18" s="129" t="s">
        <v>98</v>
      </c>
      <c r="D18" s="128" t="s">
        <v>99</v>
      </c>
      <c r="E18" s="128" t="s">
        <v>100</v>
      </c>
      <c r="F18" s="128" t="s">
        <v>101</v>
      </c>
      <c r="G18" s="128" t="s">
        <v>102</v>
      </c>
      <c r="H18" s="128" t="s">
        <v>103</v>
      </c>
      <c r="I18" s="128" t="s">
        <v>104</v>
      </c>
      <c r="J18" s="1"/>
      <c r="K18" s="227" t="s">
        <v>105</v>
      </c>
      <c r="L18" s="227"/>
      <c r="M18" s="227"/>
      <c r="N18" s="227"/>
      <c r="O18" s="227" t="s">
        <v>106</v>
      </c>
      <c r="P18" s="227"/>
      <c r="Q18" s="1"/>
      <c r="R18" s="1"/>
      <c r="S18" s="1"/>
      <c r="T18" s="1"/>
      <c r="U18" s="1"/>
      <c r="V18" s="1"/>
    </row>
    <row r="19" spans="2:22">
      <c r="B19" s="1"/>
      <c r="C19" s="153" t="s">
        <v>107</v>
      </c>
      <c r="D19" s="154">
        <f>Model!I16</f>
        <v>46398</v>
      </c>
      <c r="E19" s="154">
        <f>Model!J16</f>
        <v>48253.919999999998</v>
      </c>
      <c r="F19" s="154">
        <f>Model!K16</f>
        <v>50666.616000000002</v>
      </c>
      <c r="G19" s="154">
        <f>Model!L16</f>
        <v>53453.279880000002</v>
      </c>
      <c r="H19" s="154">
        <f>Model!M16</f>
        <v>56393.2102734</v>
      </c>
      <c r="I19" s="154">
        <f>Model!N16</f>
        <v>59494.836838436997</v>
      </c>
      <c r="J19" s="1"/>
      <c r="K19" s="228" t="s">
        <v>108</v>
      </c>
      <c r="L19" s="228"/>
      <c r="M19" s="228"/>
      <c r="N19" s="228"/>
      <c r="O19" s="229">
        <f>Model!N160</f>
        <v>57.200881723456213</v>
      </c>
      <c r="P19" s="229"/>
      <c r="Q19" s="1"/>
      <c r="R19" s="1"/>
      <c r="S19" s="1"/>
      <c r="T19" s="1"/>
      <c r="U19" s="1"/>
      <c r="V19" s="1"/>
    </row>
    <row r="20" spans="2:22" ht="21" customHeight="1">
      <c r="B20" s="1"/>
      <c r="C20" s="153" t="s">
        <v>109</v>
      </c>
      <c r="D20" s="154">
        <f>Model!I21</f>
        <v>3797</v>
      </c>
      <c r="E20" s="154">
        <f>Model!J21</f>
        <v>3956.8214399999997</v>
      </c>
      <c r="F20" s="154">
        <f>Model!K21</f>
        <v>4762.6619039999969</v>
      </c>
      <c r="G20" s="154">
        <f>Model!L21</f>
        <v>5719.5009471599988</v>
      </c>
      <c r="H20" s="154">
        <f>Model!M21</f>
        <v>6654.3988122612027</v>
      </c>
      <c r="I20" s="154">
        <f>Model!N21</f>
        <v>7555.8442784814997</v>
      </c>
      <c r="J20" s="1"/>
      <c r="K20" s="228" t="s">
        <v>110</v>
      </c>
      <c r="L20" s="228"/>
      <c r="M20" s="228"/>
      <c r="N20" s="228"/>
      <c r="O20" s="229">
        <f>Model!L199</f>
        <v>23.032589653872289</v>
      </c>
      <c r="P20" s="229"/>
      <c r="Q20" s="1"/>
      <c r="R20" s="1"/>
      <c r="S20" s="1"/>
      <c r="T20" s="1"/>
      <c r="U20" s="1"/>
      <c r="V20" s="1"/>
    </row>
    <row r="21" spans="2:22">
      <c r="B21" s="1"/>
      <c r="C21" s="153" t="s">
        <v>111</v>
      </c>
      <c r="D21" s="154">
        <f>Model!I28</f>
        <v>3108</v>
      </c>
      <c r="E21" s="154">
        <f>Model!J28</f>
        <v>2995.4394679924449</v>
      </c>
      <c r="F21" s="154">
        <f>Model!K28</f>
        <v>3673.1320548403369</v>
      </c>
      <c r="G21" s="154">
        <f>Model!L28</f>
        <v>4479.561834815132</v>
      </c>
      <c r="H21" s="154">
        <f>Model!M28</f>
        <v>5276.1861673053681</v>
      </c>
      <c r="I21" s="154">
        <f>Model!N28</f>
        <v>6056.3910999060645</v>
      </c>
      <c r="J21" s="1"/>
      <c r="K21" s="228" t="s">
        <v>112</v>
      </c>
      <c r="L21" s="228"/>
      <c r="M21" s="228"/>
      <c r="N21" s="228"/>
      <c r="O21" s="229">
        <f>Model!N214</f>
        <v>48.245831246842037</v>
      </c>
      <c r="P21" s="229"/>
      <c r="Q21" s="1"/>
      <c r="R21" s="1"/>
      <c r="S21" s="1"/>
      <c r="T21" s="1"/>
      <c r="U21" s="1"/>
      <c r="V21" s="1"/>
    </row>
    <row r="22" spans="2:22">
      <c r="B22" s="1"/>
      <c r="C22" s="153" t="s">
        <v>113</v>
      </c>
      <c r="D22" s="154">
        <f>Model!I122</f>
        <v>2868</v>
      </c>
      <c r="E22" s="154">
        <f>Model!J122</f>
        <v>4569.1813201025234</v>
      </c>
      <c r="F22" s="154">
        <f>Model!K122</f>
        <v>5323.0463760984267</v>
      </c>
      <c r="G22" s="154">
        <f>Model!L122</f>
        <v>6124.0375276779905</v>
      </c>
      <c r="H22" s="154">
        <f>Model!M122</f>
        <v>7012.9294639770451</v>
      </c>
      <c r="I22" s="154">
        <f>Model!N122</f>
        <v>7890.5742888744844</v>
      </c>
      <c r="J22" s="1"/>
      <c r="K22" s="228" t="s">
        <v>114</v>
      </c>
      <c r="L22" s="228"/>
      <c r="M22" s="228"/>
      <c r="N22" s="228"/>
      <c r="O22" s="229">
        <f>Model!L201</f>
        <v>46.950394102581036</v>
      </c>
      <c r="P22" s="229"/>
      <c r="Q22" s="1"/>
      <c r="R22" s="1"/>
      <c r="S22" s="1"/>
      <c r="T22" s="1"/>
      <c r="U22" s="1"/>
      <c r="V22" s="1"/>
    </row>
    <row r="23" spans="2:22">
      <c r="B23" s="1"/>
      <c r="C23" s="153" t="s">
        <v>115</v>
      </c>
      <c r="D23" s="154">
        <f>Model!I148</f>
        <v>1728.916923076923</v>
      </c>
      <c r="E23" s="154">
        <f>Model!J148</f>
        <v>3228.9864656925774</v>
      </c>
      <c r="F23" s="154">
        <f>Model!K148</f>
        <v>3718.1300783837523</v>
      </c>
      <c r="G23" s="154">
        <f>Model!L148</f>
        <v>4447.3456496246299</v>
      </c>
      <c r="H23" s="154">
        <f>Model!M148</f>
        <v>5241.6236119794803</v>
      </c>
      <c r="I23" s="154">
        <f>Model!N148</f>
        <v>6014.9815590519092</v>
      </c>
      <c r="J23" s="1"/>
      <c r="K23" s="228" t="s">
        <v>116</v>
      </c>
      <c r="L23" s="228"/>
      <c r="M23" s="228"/>
      <c r="N23" s="228"/>
      <c r="O23" s="230">
        <f>Model!N188</f>
        <v>1228.6829279770932</v>
      </c>
      <c r="P23" s="230"/>
      <c r="Q23" s="1"/>
      <c r="R23" s="1"/>
      <c r="S23" s="1"/>
      <c r="T23" s="1"/>
      <c r="U23" s="1"/>
      <c r="V23" s="1"/>
    </row>
    <row r="24" spans="2:22">
      <c r="B24" s="1"/>
      <c r="C24" s="153" t="s">
        <v>117</v>
      </c>
      <c r="D24" s="155">
        <f>Model!I30</f>
        <v>2.1</v>
      </c>
      <c r="E24" s="155">
        <f>Model!J30</f>
        <v>1.9795951571871329</v>
      </c>
      <c r="F24" s="155">
        <f>Model!K30</f>
        <v>2.441019960012774</v>
      </c>
      <c r="G24" s="155">
        <f>Model!L30</f>
        <v>2.992576314874285</v>
      </c>
      <c r="H24" s="155">
        <f>Model!M30</f>
        <v>3.542141221155894</v>
      </c>
      <c r="I24" s="155">
        <f>Model!N30</f>
        <v>4.0847171348315801</v>
      </c>
      <c r="J24" s="1"/>
      <c r="K24" s="231" t="s">
        <v>118</v>
      </c>
      <c r="L24" s="231"/>
      <c r="M24" s="231"/>
      <c r="N24" s="231"/>
      <c r="O24" s="232">
        <f>Model!N189</f>
        <v>0.34866524338722238</v>
      </c>
      <c r="P24" s="232"/>
      <c r="Q24" s="1"/>
      <c r="R24" s="1"/>
      <c r="S24" s="1"/>
      <c r="T24" s="1"/>
      <c r="U24" s="1"/>
      <c r="V24" s="1"/>
    </row>
    <row r="25" spans="2:22">
      <c r="B25" s="1"/>
      <c r="C25" s="1"/>
      <c r="D25" s="1"/>
      <c r="E25" s="1"/>
      <c r="F25" s="1"/>
      <c r="G25" s="1"/>
      <c r="H25" s="1"/>
      <c r="I25" s="1"/>
      <c r="J25" s="1"/>
      <c r="K25" s="1"/>
      <c r="L25" s="1"/>
      <c r="M25" s="1"/>
      <c r="N25" s="1"/>
      <c r="O25" s="1"/>
      <c r="P25" s="1"/>
      <c r="Q25" s="1"/>
      <c r="R25" s="1"/>
      <c r="S25" s="1"/>
      <c r="T25" s="1"/>
      <c r="U25" s="1"/>
      <c r="V25" s="1"/>
    </row>
    <row r="26" spans="2:22">
      <c r="B26" s="1"/>
      <c r="C26" s="1"/>
      <c r="D26" s="1"/>
      <c r="E26" s="1"/>
      <c r="F26" s="1"/>
      <c r="G26" s="1"/>
      <c r="H26" s="1"/>
      <c r="I26" s="1"/>
      <c r="J26" s="1"/>
      <c r="K26" s="1"/>
      <c r="L26" s="1"/>
      <c r="M26" s="1"/>
      <c r="N26" s="1"/>
      <c r="O26" s="1"/>
      <c r="P26" s="1"/>
      <c r="Q26" s="1"/>
      <c r="R26" s="1"/>
      <c r="S26" s="1"/>
      <c r="T26" s="1"/>
      <c r="U26" s="1"/>
      <c r="V26" s="1"/>
    </row>
    <row r="27" spans="2:22" ht="21" customHeight="1">
      <c r="B27" s="177" t="s">
        <v>119</v>
      </c>
      <c r="C27" s="177"/>
      <c r="D27" s="177"/>
      <c r="E27" s="177"/>
      <c r="F27" s="177"/>
      <c r="G27" s="177"/>
      <c r="H27" s="177"/>
      <c r="I27" s="177"/>
      <c r="J27" s="177"/>
      <c r="K27" s="177"/>
      <c r="L27" s="177"/>
      <c r="M27" s="177"/>
      <c r="N27" s="177"/>
      <c r="O27" s="177"/>
      <c r="P27" s="177"/>
      <c r="Q27" s="177"/>
      <c r="R27" s="177"/>
      <c r="S27" s="177"/>
      <c r="T27" s="177"/>
      <c r="U27" s="177"/>
      <c r="V27" s="177"/>
    </row>
    <row r="28" spans="2:22">
      <c r="B28" s="1"/>
      <c r="C28" s="1"/>
      <c r="D28" s="1"/>
      <c r="E28" s="1"/>
      <c r="F28" s="1"/>
      <c r="G28" s="1"/>
      <c r="H28" s="1"/>
      <c r="I28" s="1"/>
      <c r="J28" s="1"/>
      <c r="K28" s="1"/>
      <c r="L28" s="1"/>
      <c r="M28" s="1"/>
      <c r="N28" s="1"/>
      <c r="O28" s="1"/>
      <c r="P28" s="1"/>
      <c r="Q28" s="1"/>
      <c r="R28" s="1"/>
      <c r="S28" s="1"/>
      <c r="T28" s="1"/>
      <c r="U28" s="1"/>
      <c r="V28" s="1"/>
    </row>
    <row r="29" spans="2:22">
      <c r="B29" s="1"/>
      <c r="C29" s="4" t="s">
        <v>120</v>
      </c>
      <c r="D29" s="4" t="s">
        <v>121</v>
      </c>
      <c r="E29" s="4" t="s">
        <v>122</v>
      </c>
      <c r="F29" s="4" t="s">
        <v>123</v>
      </c>
      <c r="G29" s="1"/>
      <c r="H29" s="1"/>
      <c r="I29" s="1"/>
      <c r="J29" s="1"/>
      <c r="K29" s="1"/>
      <c r="L29" s="1"/>
      <c r="M29" s="1"/>
      <c r="N29" s="1"/>
      <c r="O29" s="1"/>
      <c r="P29" s="1"/>
      <c r="Q29" s="1"/>
      <c r="R29" s="1"/>
      <c r="S29" s="1"/>
      <c r="T29" s="1"/>
      <c r="U29" s="1"/>
      <c r="V29" s="1"/>
    </row>
    <row r="30" spans="2:22">
      <c r="B30" s="1"/>
      <c r="C30" s="1" t="s">
        <v>124</v>
      </c>
      <c r="D30" s="156" t="s">
        <v>125</v>
      </c>
      <c r="E30" s="51">
        <f>Inputs!$G$10</f>
        <v>0</v>
      </c>
      <c r="F30" s="228" t="s">
        <v>126</v>
      </c>
      <c r="G30" s="228"/>
      <c r="H30" s="228"/>
      <c r="I30" s="228"/>
      <c r="J30" s="1"/>
      <c r="K30" s="1"/>
      <c r="L30" s="1"/>
      <c r="M30" s="1"/>
      <c r="N30" s="1"/>
      <c r="O30" s="1"/>
      <c r="P30" s="1"/>
      <c r="Q30" s="1"/>
      <c r="R30" s="1"/>
      <c r="S30" s="1"/>
      <c r="T30" s="1"/>
      <c r="U30" s="1"/>
      <c r="V30" s="1"/>
    </row>
    <row r="31" spans="2:22">
      <c r="B31" s="1"/>
      <c r="C31" s="1" t="s">
        <v>127</v>
      </c>
      <c r="D31" s="156" t="s">
        <v>125</v>
      </c>
      <c r="E31" s="51">
        <f>Inputs!$G$11</f>
        <v>0</v>
      </c>
      <c r="F31" s="228" t="s">
        <v>128</v>
      </c>
      <c r="G31" s="228"/>
      <c r="H31" s="228"/>
      <c r="I31" s="228"/>
      <c r="J31" s="1"/>
      <c r="K31" s="1"/>
      <c r="L31" s="1"/>
      <c r="M31" s="1"/>
      <c r="N31" s="1"/>
      <c r="O31" s="1"/>
      <c r="P31" s="1"/>
      <c r="Q31" s="1"/>
      <c r="R31" s="1"/>
      <c r="S31" s="1"/>
      <c r="T31" s="1"/>
      <c r="U31" s="1"/>
      <c r="V31" s="1"/>
    </row>
    <row r="32" spans="2:22">
      <c r="B32" s="1"/>
      <c r="C32" s="1" t="s">
        <v>129</v>
      </c>
      <c r="D32" s="156" t="s">
        <v>125</v>
      </c>
      <c r="E32" s="51">
        <f>Inputs!$G$12</f>
        <v>0</v>
      </c>
      <c r="F32" s="228" t="s">
        <v>130</v>
      </c>
      <c r="G32" s="228"/>
      <c r="H32" s="228"/>
      <c r="I32" s="228"/>
      <c r="J32" s="1"/>
      <c r="K32" s="1"/>
      <c r="L32" s="1"/>
      <c r="M32" s="1"/>
      <c r="N32" s="1"/>
      <c r="O32" s="1"/>
      <c r="P32" s="1"/>
      <c r="Q32" s="1"/>
      <c r="R32" s="1"/>
      <c r="S32" s="1"/>
      <c r="T32" s="1"/>
      <c r="U32" s="1"/>
      <c r="V32" s="1"/>
    </row>
    <row r="33" spans="2:22">
      <c r="B33" s="1"/>
      <c r="C33" s="153" t="s">
        <v>131</v>
      </c>
      <c r="D33" s="157" t="s">
        <v>125</v>
      </c>
      <c r="E33" s="158">
        <f>Inputs!$G$13</f>
        <v>0</v>
      </c>
      <c r="F33" s="231" t="s">
        <v>132</v>
      </c>
      <c r="G33" s="231"/>
      <c r="H33" s="231"/>
      <c r="I33" s="231"/>
      <c r="J33" s="1"/>
      <c r="K33" s="1"/>
      <c r="L33" s="1"/>
      <c r="M33" s="1"/>
      <c r="N33" s="1"/>
      <c r="O33" s="1"/>
      <c r="P33" s="1"/>
      <c r="Q33" s="1"/>
      <c r="R33" s="1"/>
      <c r="S33" s="1"/>
      <c r="T33" s="1"/>
      <c r="U33" s="1"/>
      <c r="V33" s="1"/>
    </row>
    <row r="34" spans="2:22">
      <c r="B34" s="1"/>
      <c r="C34" s="1"/>
      <c r="D34" s="1"/>
      <c r="E34" s="1"/>
      <c r="F34" s="1"/>
      <c r="G34" s="1"/>
      <c r="H34" s="1"/>
      <c r="I34" s="1"/>
      <c r="J34" s="1"/>
      <c r="K34" s="1"/>
      <c r="L34" s="1"/>
      <c r="M34" s="1"/>
      <c r="N34" s="1"/>
      <c r="O34" s="1"/>
      <c r="P34" s="1"/>
      <c r="Q34" s="1"/>
      <c r="R34" s="1"/>
      <c r="S34" s="1"/>
      <c r="T34" s="1"/>
      <c r="U34" s="1"/>
      <c r="V34" s="1"/>
    </row>
    <row r="35" spans="2:22">
      <c r="B35" s="1"/>
      <c r="C35" s="1"/>
      <c r="D35" s="1"/>
      <c r="E35" s="1"/>
      <c r="F35" s="1"/>
      <c r="G35" s="1"/>
      <c r="H35" s="1"/>
      <c r="I35" s="1"/>
      <c r="J35" s="1"/>
      <c r="K35" s="1"/>
      <c r="L35" s="1"/>
      <c r="M35" s="1"/>
      <c r="N35" s="1"/>
      <c r="O35" s="1"/>
      <c r="P35" s="1"/>
      <c r="Q35" s="1"/>
      <c r="R35" s="1"/>
      <c r="S35" s="1"/>
      <c r="T35" s="1"/>
      <c r="U35" s="1"/>
      <c r="V35" s="1"/>
    </row>
    <row r="36" spans="2:22" ht="21" customHeight="1">
      <c r="B36" s="177" t="s">
        <v>133</v>
      </c>
      <c r="C36" s="177"/>
      <c r="D36" s="177"/>
      <c r="E36" s="177"/>
      <c r="F36" s="177"/>
      <c r="G36" s="177"/>
      <c r="H36" s="177"/>
      <c r="I36" s="177"/>
      <c r="J36" s="177"/>
      <c r="K36" s="177"/>
      <c r="L36" s="177"/>
      <c r="M36" s="177"/>
      <c r="N36" s="177"/>
      <c r="O36" s="177"/>
      <c r="P36" s="177"/>
      <c r="Q36" s="177"/>
      <c r="R36" s="177"/>
      <c r="S36" s="177"/>
      <c r="T36" s="177"/>
      <c r="U36" s="177"/>
      <c r="V36" s="177"/>
    </row>
    <row r="37" spans="2:22">
      <c r="B37" s="1"/>
      <c r="C37" s="1"/>
      <c r="D37" s="1"/>
      <c r="E37" s="1"/>
      <c r="F37" s="1"/>
      <c r="G37" s="1"/>
      <c r="H37" s="1"/>
      <c r="I37" s="1"/>
      <c r="J37" s="1"/>
      <c r="K37" s="1"/>
      <c r="L37" s="1"/>
      <c r="M37" s="1"/>
      <c r="N37" s="1"/>
      <c r="O37" s="1"/>
      <c r="P37" s="1"/>
      <c r="Q37" s="1"/>
      <c r="R37" s="1"/>
      <c r="S37" s="1"/>
      <c r="T37" s="1"/>
      <c r="U37" s="1"/>
      <c r="V37" s="1"/>
    </row>
    <row r="38" spans="2:22">
      <c r="B38" s="1"/>
      <c r="C38" s="1"/>
      <c r="D38" s="1"/>
      <c r="E38" s="1"/>
      <c r="F38" s="1"/>
      <c r="G38" s="1"/>
      <c r="H38" s="1"/>
      <c r="I38" s="1"/>
      <c r="J38" s="1"/>
      <c r="K38" s="1"/>
      <c r="L38" s="1"/>
      <c r="M38" s="1"/>
      <c r="N38" s="1"/>
      <c r="O38" s="1"/>
      <c r="P38" s="1"/>
      <c r="Q38" s="1"/>
      <c r="R38" s="1"/>
      <c r="S38" s="1"/>
      <c r="T38" s="1"/>
      <c r="U38" s="1"/>
      <c r="V38" s="1"/>
    </row>
    <row r="39" spans="2:22">
      <c r="B39" s="1"/>
      <c r="C39" s="1"/>
      <c r="D39" s="1"/>
      <c r="E39" s="1"/>
      <c r="F39" s="1"/>
      <c r="G39" s="1"/>
      <c r="H39" s="1"/>
      <c r="I39" s="1"/>
      <c r="J39" s="1"/>
      <c r="K39" s="1"/>
      <c r="L39" s="1"/>
      <c r="M39" s="1"/>
      <c r="N39" s="1"/>
      <c r="O39" s="1"/>
      <c r="P39" s="1"/>
      <c r="Q39" s="1"/>
      <c r="R39" s="1"/>
      <c r="S39" s="1"/>
      <c r="T39" s="1"/>
      <c r="U39" s="1"/>
      <c r="V39" s="1"/>
    </row>
    <row r="40" spans="2:22">
      <c r="B40" s="1"/>
      <c r="C40" s="1"/>
      <c r="D40" s="1"/>
      <c r="E40" s="1"/>
      <c r="F40" s="1"/>
      <c r="G40" s="1"/>
      <c r="H40" s="1"/>
      <c r="I40" s="1"/>
      <c r="J40" s="1"/>
      <c r="K40" s="1"/>
      <c r="L40" s="1"/>
      <c r="M40" s="1"/>
      <c r="N40" s="1"/>
      <c r="O40" s="1"/>
      <c r="P40" s="1"/>
      <c r="Q40" s="1"/>
      <c r="R40" s="1"/>
      <c r="S40" s="1"/>
      <c r="T40" s="1"/>
      <c r="U40" s="1"/>
      <c r="V40" s="1"/>
    </row>
    <row r="41" spans="2:22">
      <c r="B41" s="1"/>
      <c r="C41" s="1"/>
      <c r="D41" s="1"/>
      <c r="E41" s="1"/>
      <c r="F41" s="1"/>
      <c r="G41" s="1"/>
      <c r="H41" s="1"/>
      <c r="I41" s="1"/>
      <c r="J41" s="1"/>
      <c r="K41" s="1"/>
      <c r="L41" s="1"/>
      <c r="M41" s="1"/>
      <c r="N41" s="1"/>
      <c r="O41" s="1"/>
      <c r="P41" s="1"/>
      <c r="Q41" s="1"/>
      <c r="R41" s="1"/>
      <c r="S41" s="1"/>
      <c r="T41" s="1"/>
      <c r="U41" s="1"/>
      <c r="V41" s="1"/>
    </row>
    <row r="42" spans="2:22">
      <c r="B42" s="1"/>
      <c r="C42" s="1"/>
      <c r="D42" s="1"/>
      <c r="E42" s="1"/>
      <c r="F42" s="1"/>
      <c r="G42" s="1"/>
      <c r="H42" s="1"/>
      <c r="I42" s="1"/>
      <c r="J42" s="1"/>
      <c r="K42" s="1"/>
      <c r="L42" s="1"/>
      <c r="M42" s="1"/>
      <c r="N42" s="1"/>
      <c r="O42" s="1"/>
      <c r="P42" s="1"/>
      <c r="Q42" s="1"/>
      <c r="R42" s="1"/>
      <c r="S42" s="1"/>
      <c r="T42" s="1"/>
      <c r="U42" s="1"/>
      <c r="V42" s="1"/>
    </row>
    <row r="43" spans="2:22">
      <c r="B43" s="1"/>
      <c r="C43" s="1"/>
      <c r="D43" s="1"/>
      <c r="E43" s="1"/>
      <c r="F43" s="1"/>
      <c r="G43" s="1"/>
      <c r="H43" s="1"/>
      <c r="I43" s="1"/>
      <c r="J43" s="1"/>
      <c r="K43" s="1"/>
      <c r="L43" s="1"/>
      <c r="M43" s="1"/>
      <c r="N43" s="1"/>
      <c r="O43" s="1"/>
      <c r="P43" s="1"/>
      <c r="Q43" s="1"/>
      <c r="R43" s="1"/>
      <c r="S43" s="1"/>
      <c r="T43" s="1"/>
      <c r="U43" s="1"/>
      <c r="V43" s="1"/>
    </row>
    <row r="44" spans="2:22">
      <c r="B44" s="1"/>
      <c r="C44" s="1"/>
      <c r="D44" s="1"/>
      <c r="E44" s="1"/>
      <c r="F44" s="1"/>
      <c r="G44" s="1"/>
      <c r="H44" s="1"/>
      <c r="I44" s="1"/>
      <c r="J44" s="1"/>
      <c r="K44" s="1"/>
      <c r="L44" s="1"/>
      <c r="M44" s="1"/>
      <c r="N44" s="1"/>
      <c r="O44" s="1"/>
      <c r="P44" s="1"/>
      <c r="Q44" s="1"/>
      <c r="R44" s="1"/>
      <c r="S44" s="1"/>
      <c r="T44" s="1"/>
      <c r="U44" s="1"/>
      <c r="V44" s="1"/>
    </row>
    <row r="45" spans="2:22">
      <c r="B45" s="1"/>
      <c r="C45" s="1"/>
      <c r="D45" s="1"/>
      <c r="E45" s="1"/>
      <c r="F45" s="1"/>
      <c r="G45" s="1"/>
      <c r="H45" s="1"/>
      <c r="I45" s="1"/>
      <c r="J45" s="1"/>
      <c r="K45" s="1"/>
      <c r="L45" s="1"/>
      <c r="M45" s="1"/>
      <c r="N45" s="1"/>
      <c r="O45" s="1"/>
      <c r="P45" s="1"/>
      <c r="Q45" s="1"/>
      <c r="R45" s="1"/>
      <c r="S45" s="1"/>
      <c r="T45" s="1"/>
      <c r="U45" s="1"/>
      <c r="V45" s="1"/>
    </row>
    <row r="46" spans="2:22">
      <c r="B46" s="1"/>
      <c r="C46" s="1"/>
      <c r="D46" s="1"/>
      <c r="E46" s="1"/>
      <c r="F46" s="1"/>
      <c r="G46" s="1"/>
      <c r="H46" s="1"/>
      <c r="I46" s="1"/>
      <c r="J46" s="1"/>
      <c r="K46" s="1"/>
      <c r="L46" s="1"/>
      <c r="M46" s="1"/>
      <c r="N46" s="1"/>
      <c r="O46" s="1"/>
      <c r="P46" s="1"/>
      <c r="Q46" s="1"/>
      <c r="R46" s="1"/>
      <c r="S46" s="1"/>
      <c r="T46" s="1"/>
      <c r="U46" s="1"/>
      <c r="V46" s="1"/>
    </row>
    <row r="47" spans="2:22">
      <c r="B47" s="1"/>
      <c r="C47" s="1"/>
      <c r="D47" s="1"/>
      <c r="E47" s="1"/>
      <c r="F47" s="1"/>
      <c r="G47" s="1"/>
      <c r="H47" s="1"/>
      <c r="I47" s="1"/>
      <c r="J47" s="1"/>
      <c r="K47" s="1"/>
      <c r="L47" s="1"/>
      <c r="M47" s="1"/>
      <c r="N47" s="1"/>
      <c r="O47" s="1"/>
      <c r="P47" s="1"/>
      <c r="Q47" s="1"/>
      <c r="R47" s="1"/>
      <c r="S47" s="1"/>
      <c r="T47" s="1"/>
      <c r="U47" s="1"/>
      <c r="V47" s="1"/>
    </row>
    <row r="48" spans="2:22">
      <c r="B48" s="1"/>
      <c r="C48" s="1"/>
      <c r="D48" s="1"/>
      <c r="E48" s="1"/>
      <c r="F48" s="1"/>
      <c r="G48" s="1"/>
      <c r="H48" s="1"/>
      <c r="I48" s="1"/>
      <c r="J48" s="1"/>
      <c r="K48" s="1"/>
      <c r="L48" s="1"/>
      <c r="M48" s="1"/>
      <c r="N48" s="1"/>
      <c r="O48" s="1"/>
      <c r="P48" s="1"/>
      <c r="Q48" s="1"/>
      <c r="R48" s="1"/>
      <c r="S48" s="1"/>
      <c r="T48" s="1"/>
      <c r="U48" s="1"/>
      <c r="V48" s="1"/>
    </row>
    <row r="49" spans="2:29">
      <c r="B49" s="1"/>
      <c r="C49" s="1"/>
      <c r="D49" s="1"/>
      <c r="E49" s="1"/>
      <c r="F49" s="1"/>
      <c r="G49" s="1"/>
      <c r="H49" s="1"/>
      <c r="I49" s="1"/>
      <c r="J49" s="1"/>
      <c r="K49" s="1"/>
      <c r="L49" s="1"/>
      <c r="M49" s="1"/>
      <c r="N49" s="1"/>
      <c r="O49" s="1"/>
      <c r="P49" s="1"/>
      <c r="Q49" s="1"/>
      <c r="R49" s="1"/>
      <c r="S49" s="1"/>
      <c r="T49" s="1"/>
      <c r="U49" s="1"/>
      <c r="V49" s="1"/>
    </row>
    <row r="50" spans="2:29">
      <c r="B50" s="1"/>
      <c r="C50" s="1"/>
      <c r="D50" s="1"/>
      <c r="E50" s="1"/>
      <c r="F50" s="1"/>
      <c r="G50" s="1"/>
      <c r="H50" s="1"/>
      <c r="I50" s="1"/>
      <c r="J50" s="1"/>
      <c r="K50" s="1"/>
      <c r="L50" s="1"/>
      <c r="M50" s="1"/>
      <c r="N50" s="1"/>
      <c r="O50" s="1"/>
      <c r="P50" s="1"/>
      <c r="Q50" s="1"/>
      <c r="R50" s="1"/>
      <c r="S50" s="1"/>
      <c r="T50" s="1"/>
      <c r="U50" s="1"/>
      <c r="V50" s="1"/>
    </row>
    <row r="51" spans="2:29">
      <c r="B51" s="1"/>
      <c r="C51" s="1"/>
      <c r="D51" s="1"/>
      <c r="E51" s="1"/>
      <c r="F51" s="1"/>
      <c r="G51" s="1"/>
      <c r="H51" s="1"/>
      <c r="I51" s="1"/>
      <c r="J51" s="1"/>
      <c r="K51" s="1"/>
      <c r="L51" s="1"/>
      <c r="M51" s="1"/>
      <c r="N51" s="1"/>
      <c r="O51" s="1"/>
      <c r="P51" s="1"/>
      <c r="Q51" s="1"/>
      <c r="R51" s="1"/>
      <c r="S51" s="1"/>
      <c r="T51" s="1"/>
      <c r="U51" s="1"/>
      <c r="V51" s="1"/>
    </row>
    <row r="52" spans="2:29">
      <c r="B52" s="1"/>
      <c r="C52" s="1"/>
      <c r="D52" s="1"/>
      <c r="E52" s="1"/>
      <c r="F52" s="1"/>
      <c r="G52" s="1"/>
      <c r="H52" s="1"/>
      <c r="I52" s="1"/>
      <c r="J52" s="1"/>
      <c r="K52" s="1"/>
      <c r="L52" s="1"/>
      <c r="M52" s="1"/>
      <c r="N52" s="1"/>
      <c r="O52" s="1"/>
      <c r="P52" s="1"/>
      <c r="Q52" s="1"/>
      <c r="R52" s="1"/>
      <c r="S52" s="1"/>
      <c r="T52" s="1"/>
      <c r="U52" s="1"/>
      <c r="V52" s="1"/>
    </row>
    <row r="53" spans="2:29">
      <c r="B53" s="1"/>
      <c r="C53" s="1"/>
      <c r="D53" s="1"/>
      <c r="E53" s="1"/>
      <c r="F53" s="1"/>
      <c r="G53" s="1"/>
      <c r="H53" s="1"/>
      <c r="I53" s="1"/>
      <c r="J53" s="1"/>
      <c r="K53" s="1"/>
      <c r="L53" s="1"/>
      <c r="M53" s="1"/>
      <c r="N53" s="1"/>
      <c r="O53" s="1"/>
      <c r="P53" s="1"/>
      <c r="Q53" s="1"/>
      <c r="R53" s="1"/>
      <c r="S53" s="1"/>
      <c r="T53" s="1"/>
      <c r="U53" s="1"/>
      <c r="V53" s="1"/>
    </row>
    <row r="54" spans="2:29">
      <c r="B54" s="1"/>
      <c r="C54" s="1"/>
      <c r="D54" s="1"/>
      <c r="E54" s="1"/>
      <c r="F54" s="1"/>
      <c r="G54" s="1"/>
      <c r="H54" s="1"/>
      <c r="I54" s="1"/>
      <c r="J54" s="1"/>
      <c r="K54" s="1"/>
      <c r="L54" s="1"/>
      <c r="M54" s="1"/>
      <c r="N54" s="1"/>
      <c r="O54" s="1"/>
      <c r="P54" s="1"/>
      <c r="Q54" s="1"/>
      <c r="R54" s="1"/>
      <c r="S54" s="1"/>
      <c r="T54" s="1"/>
      <c r="U54" s="1"/>
      <c r="V54" s="1"/>
    </row>
    <row r="55" spans="2:29">
      <c r="B55" s="1"/>
      <c r="C55" s="1"/>
      <c r="D55" s="1"/>
      <c r="E55" s="1"/>
      <c r="F55" s="1"/>
      <c r="G55" s="1"/>
      <c r="H55" s="1"/>
      <c r="I55" s="1"/>
      <c r="J55" s="1"/>
      <c r="K55" s="1"/>
      <c r="L55" s="1"/>
      <c r="M55" s="1"/>
      <c r="N55" s="1"/>
      <c r="O55" s="1"/>
      <c r="P55" s="1"/>
      <c r="Q55" s="1"/>
      <c r="R55" s="1"/>
      <c r="S55" s="1"/>
      <c r="T55" s="1"/>
      <c r="U55" s="1"/>
      <c r="V55" s="1"/>
    </row>
    <row r="56" spans="2:29">
      <c r="B56" s="1"/>
      <c r="C56" s="1"/>
      <c r="D56" s="1"/>
      <c r="E56" s="1"/>
      <c r="F56" s="1"/>
      <c r="G56" s="1"/>
      <c r="H56" s="1"/>
      <c r="I56" s="1"/>
      <c r="J56" s="1"/>
      <c r="K56" s="1"/>
      <c r="L56" s="1"/>
      <c r="M56" s="1"/>
      <c r="N56" s="1"/>
      <c r="O56" s="1"/>
      <c r="P56" s="1"/>
      <c r="Q56" s="1"/>
      <c r="R56" s="1"/>
      <c r="S56" s="1"/>
      <c r="T56" s="1"/>
      <c r="U56" s="1"/>
      <c r="V56" s="1"/>
    </row>
    <row r="57" spans="2:29">
      <c r="B57" s="1"/>
      <c r="C57" s="1"/>
      <c r="D57" s="1"/>
      <c r="E57" s="1"/>
      <c r="F57" s="1"/>
      <c r="G57" s="1"/>
      <c r="H57" s="1"/>
      <c r="I57" s="1"/>
      <c r="J57" s="1"/>
      <c r="K57" s="1"/>
      <c r="L57" s="1"/>
      <c r="M57" s="1"/>
      <c r="N57" s="1"/>
      <c r="O57" s="1"/>
      <c r="P57" s="1"/>
      <c r="Q57" s="1"/>
      <c r="R57" s="1"/>
      <c r="S57" s="1"/>
      <c r="T57" s="1"/>
      <c r="U57" s="1"/>
      <c r="V57" s="1"/>
    </row>
    <row r="58" spans="2:29" ht="21" customHeight="1">
      <c r="B58" s="177" t="s">
        <v>134</v>
      </c>
      <c r="C58" s="177"/>
      <c r="D58" s="177"/>
      <c r="E58" s="177"/>
      <c r="F58" s="177"/>
      <c r="G58" s="177"/>
      <c r="H58" s="177"/>
      <c r="I58" s="177"/>
      <c r="J58" s="177"/>
      <c r="K58" s="177"/>
      <c r="L58" s="177"/>
      <c r="M58" s="177"/>
      <c r="N58" s="177"/>
      <c r="O58" s="177"/>
      <c r="P58" s="177"/>
      <c r="Q58" s="177"/>
      <c r="R58" s="177"/>
      <c r="S58" s="177"/>
      <c r="T58" s="177"/>
      <c r="U58" s="177"/>
      <c r="V58" s="177"/>
    </row>
    <row r="59" spans="2:29">
      <c r="B59" s="1"/>
      <c r="C59" s="1"/>
      <c r="D59" s="1"/>
      <c r="E59" s="1"/>
      <c r="F59" s="1"/>
      <c r="G59" s="1"/>
      <c r="H59" s="1"/>
      <c r="I59" s="1"/>
      <c r="J59" s="1"/>
      <c r="K59" s="1"/>
      <c r="L59" s="1"/>
      <c r="M59" s="1"/>
      <c r="N59" s="1"/>
      <c r="O59" s="1"/>
      <c r="P59" s="1"/>
      <c r="Q59" s="1"/>
      <c r="R59" s="1"/>
      <c r="S59" s="1"/>
      <c r="T59" s="1"/>
      <c r="U59" s="1"/>
      <c r="V59" s="1"/>
    </row>
    <row r="60" spans="2:29">
      <c r="B60" s="1"/>
      <c r="C60" s="4" t="s">
        <v>135</v>
      </c>
      <c r="D60" s="4" t="s">
        <v>136</v>
      </c>
      <c r="E60" s="4" t="s">
        <v>137</v>
      </c>
      <c r="F60" s="1"/>
      <c r="G60" s="1"/>
      <c r="H60" s="1"/>
      <c r="I60" s="1"/>
      <c r="J60" s="1"/>
      <c r="K60" s="1"/>
      <c r="L60" s="1"/>
      <c r="M60" s="1"/>
      <c r="N60" s="1"/>
      <c r="O60" s="1"/>
      <c r="P60" s="1"/>
      <c r="Q60" s="1"/>
      <c r="R60" s="1"/>
      <c r="S60" s="1"/>
      <c r="T60" s="1"/>
      <c r="U60" s="1"/>
      <c r="V60" s="1"/>
      <c r="X60" t="s">
        <v>135</v>
      </c>
      <c r="Y60" t="s">
        <v>125</v>
      </c>
      <c r="Z60" t="s">
        <v>108</v>
      </c>
      <c r="AA60" t="s">
        <v>138</v>
      </c>
      <c r="AB60" t="s">
        <v>139</v>
      </c>
      <c r="AC60" t="s">
        <v>140</v>
      </c>
    </row>
    <row r="61" spans="2:29" ht="23" customHeight="1">
      <c r="B61" s="1"/>
      <c r="C61" s="159" t="str">
        <f>Model!C262</f>
        <v>DCF sensitivity</v>
      </c>
      <c r="D61" s="160">
        <f>Model!D262</f>
        <v>47.179598469949809</v>
      </c>
      <c r="E61" s="160">
        <f>Model!E262</f>
        <v>77.494247197347406</v>
      </c>
      <c r="F61" s="1"/>
      <c r="G61" s="1"/>
      <c r="H61" s="1"/>
      <c r="I61" s="1"/>
      <c r="J61" s="1"/>
      <c r="K61" s="1"/>
      <c r="L61" s="1"/>
      <c r="M61" s="1"/>
      <c r="N61" s="1"/>
      <c r="O61" s="1"/>
      <c r="P61" s="1"/>
      <c r="Q61" s="1"/>
      <c r="R61" s="1"/>
      <c r="S61" s="1"/>
      <c r="T61" s="1"/>
      <c r="U61" s="1"/>
      <c r="V61" s="1"/>
      <c r="X61" t="str">
        <f>Model!C262</f>
        <v>DCF sensitivity</v>
      </c>
      <c r="Y61">
        <f>Model!D262</f>
        <v>47.179598469949809</v>
      </c>
      <c r="Z61">
        <f>Model!E262-Model!D262</f>
        <v>30.314648727397596</v>
      </c>
      <c r="AA61">
        <f>0</f>
        <v>0</v>
      </c>
      <c r="AB61">
        <f>0</f>
        <v>0</v>
      </c>
      <c r="AC61">
        <f>0</f>
        <v>0</v>
      </c>
    </row>
    <row r="62" spans="2:29" ht="23" customHeight="1">
      <c r="B62" s="1"/>
      <c r="C62" s="159" t="str">
        <f>Model!C263</f>
        <v>Trading comparables P/E</v>
      </c>
      <c r="D62" s="160">
        <f>Model!D263</f>
        <v>19.400032540433905</v>
      </c>
      <c r="E62" s="160">
        <f>Model!E263</f>
        <v>38.602105565149088</v>
      </c>
      <c r="F62" s="1"/>
      <c r="G62" s="1"/>
      <c r="H62" s="1"/>
      <c r="I62" s="1"/>
      <c r="J62" s="1"/>
      <c r="K62" s="1"/>
      <c r="L62" s="1"/>
      <c r="M62" s="1"/>
      <c r="N62" s="1"/>
      <c r="O62" s="1"/>
      <c r="P62" s="1"/>
      <c r="Q62" s="1"/>
      <c r="R62" s="1"/>
      <c r="S62" s="1"/>
      <c r="T62" s="1"/>
      <c r="U62" s="1"/>
      <c r="V62" s="1"/>
      <c r="X62" t="str">
        <f>Model!C263</f>
        <v>Trading comparables P/E</v>
      </c>
      <c r="Y62">
        <f>Model!D263</f>
        <v>19.400032540433905</v>
      </c>
      <c r="Z62">
        <f>0</f>
        <v>0</v>
      </c>
      <c r="AA62">
        <f>Model!E263-Model!D263</f>
        <v>19.202073024715183</v>
      </c>
      <c r="AB62">
        <f>0</f>
        <v>0</v>
      </c>
      <c r="AC62">
        <f>0</f>
        <v>0</v>
      </c>
    </row>
    <row r="63" spans="2:29" ht="23" customHeight="1">
      <c r="B63" s="1"/>
      <c r="C63" s="159" t="str">
        <f>Model!C264</f>
        <v>Precedent transactions</v>
      </c>
      <c r="D63" s="160">
        <f>Model!D264</f>
        <v>40.578985146754356</v>
      </c>
      <c r="E63" s="160">
        <f>Model!E264</f>
        <v>134.65316716098158</v>
      </c>
      <c r="F63" s="1"/>
      <c r="G63" s="1"/>
      <c r="H63" s="1"/>
      <c r="I63" s="1"/>
      <c r="J63" s="1"/>
      <c r="K63" s="1"/>
      <c r="L63" s="1"/>
      <c r="M63" s="1"/>
      <c r="N63" s="1"/>
      <c r="O63" s="1"/>
      <c r="P63" s="1"/>
      <c r="Q63" s="1"/>
      <c r="R63" s="1"/>
      <c r="S63" s="1"/>
      <c r="T63" s="1"/>
      <c r="U63" s="1"/>
      <c r="V63" s="1"/>
      <c r="X63" t="str">
        <f>Model!C264</f>
        <v>Precedent transactions</v>
      </c>
      <c r="Y63">
        <f>Model!D264</f>
        <v>40.578985146754356</v>
      </c>
      <c r="Z63">
        <f>0</f>
        <v>0</v>
      </c>
      <c r="AA63">
        <f>0</f>
        <v>0</v>
      </c>
      <c r="AB63">
        <f>Model!E264-Model!D264</f>
        <v>94.074182014227233</v>
      </c>
      <c r="AC63">
        <f>0</f>
        <v>0</v>
      </c>
    </row>
    <row r="64" spans="2:29" ht="23" customHeight="1">
      <c r="B64" s="1"/>
      <c r="C64" s="161" t="str">
        <f>Model!C265</f>
        <v>52-week trading range</v>
      </c>
      <c r="D64" s="162">
        <f>Model!D265</f>
        <v>38.86</v>
      </c>
      <c r="E64" s="162">
        <f>Model!E265</f>
        <v>80.17</v>
      </c>
      <c r="F64" s="1"/>
      <c r="G64" s="1"/>
      <c r="H64" s="1"/>
      <c r="I64" s="1"/>
      <c r="J64" s="1"/>
      <c r="K64" s="1"/>
      <c r="L64" s="1"/>
      <c r="M64" s="1"/>
      <c r="N64" s="1"/>
      <c r="O64" s="1"/>
      <c r="P64" s="1"/>
      <c r="Q64" s="1"/>
      <c r="R64" s="1"/>
      <c r="S64" s="1"/>
      <c r="T64" s="1"/>
      <c r="U64" s="1"/>
      <c r="V64" s="1"/>
      <c r="X64" t="str">
        <f>Model!C265</f>
        <v>52-week trading range</v>
      </c>
      <c r="Y64">
        <f>Model!D265</f>
        <v>38.86</v>
      </c>
      <c r="Z64">
        <f>0</f>
        <v>0</v>
      </c>
      <c r="AA64">
        <f>0</f>
        <v>0</v>
      </c>
      <c r="AB64">
        <f>0</f>
        <v>0</v>
      </c>
      <c r="AC64">
        <f>Model!E265-Model!D265</f>
        <v>41.31</v>
      </c>
    </row>
    <row r="65" spans="2:22" ht="28" customHeight="1">
      <c r="B65" s="1"/>
      <c r="C65" s="1"/>
      <c r="D65" s="1"/>
      <c r="E65" s="1"/>
      <c r="F65" s="1"/>
      <c r="G65" s="1"/>
      <c r="H65" s="1"/>
      <c r="I65" s="1"/>
      <c r="J65" s="1"/>
      <c r="K65" s="1"/>
      <c r="L65" s="1"/>
      <c r="M65" s="1"/>
      <c r="N65" s="1"/>
      <c r="O65" s="1"/>
      <c r="P65" s="1"/>
      <c r="Q65" s="1"/>
      <c r="R65" s="1"/>
      <c r="S65" s="1"/>
      <c r="T65" s="1"/>
      <c r="U65" s="1"/>
      <c r="V65" s="1"/>
    </row>
    <row r="66" spans="2:22" ht="28" customHeight="1">
      <c r="B66" s="1"/>
      <c r="C66" s="1" t="s">
        <v>141</v>
      </c>
      <c r="D66" s="106">
        <f>Inputs!D152</f>
        <v>40.76</v>
      </c>
      <c r="E66" s="1"/>
      <c r="F66" s="1"/>
      <c r="G66" s="1"/>
      <c r="H66" s="1"/>
      <c r="I66" s="1"/>
      <c r="J66" s="1"/>
      <c r="K66" s="1"/>
      <c r="L66" s="1"/>
      <c r="M66" s="1"/>
      <c r="N66" s="1"/>
      <c r="O66" s="1"/>
      <c r="P66" s="1"/>
      <c r="Q66" s="1"/>
      <c r="R66" s="1"/>
      <c r="S66" s="1"/>
      <c r="T66" s="1"/>
      <c r="U66" s="1"/>
      <c r="V66" s="1"/>
    </row>
    <row r="67" spans="2:22" ht="28" customHeight="1">
      <c r="B67" s="1"/>
      <c r="C67" s="1"/>
      <c r="D67" s="1"/>
      <c r="E67" s="1"/>
      <c r="F67" s="1"/>
      <c r="G67" s="1"/>
      <c r="H67" s="1"/>
      <c r="I67" s="1"/>
      <c r="J67" s="1"/>
      <c r="K67" s="1"/>
      <c r="L67" s="1"/>
      <c r="M67" s="1"/>
      <c r="N67" s="1"/>
      <c r="O67" s="1"/>
      <c r="P67" s="1"/>
      <c r="Q67" s="1"/>
      <c r="R67" s="1"/>
      <c r="S67" s="1"/>
      <c r="T67" s="1"/>
      <c r="U67" s="1"/>
      <c r="V67" s="1"/>
    </row>
    <row r="68" spans="2:22" ht="25" customHeight="1">
      <c r="B68" s="1"/>
      <c r="C68" s="233" t="s">
        <v>142</v>
      </c>
      <c r="D68" s="233"/>
      <c r="E68" s="233"/>
      <c r="F68" s="233"/>
      <c r="G68" s="1"/>
      <c r="H68" s="1"/>
      <c r="I68" s="1"/>
      <c r="J68" s="1"/>
      <c r="K68" s="1"/>
      <c r="L68" s="1"/>
      <c r="M68" s="1"/>
      <c r="N68" s="1"/>
      <c r="O68" s="1"/>
      <c r="P68" s="1"/>
      <c r="Q68" s="1"/>
      <c r="R68" s="1"/>
      <c r="S68" s="1"/>
      <c r="T68" s="1"/>
      <c r="U68" s="1"/>
      <c r="V68" s="1"/>
    </row>
    <row r="69" spans="2:22">
      <c r="B69" s="1"/>
      <c r="C69" s="1"/>
      <c r="D69" s="1"/>
      <c r="E69" s="1"/>
      <c r="F69" s="1"/>
      <c r="G69" s="1"/>
      <c r="H69" s="1"/>
      <c r="I69" s="1"/>
      <c r="J69" s="1"/>
      <c r="K69" s="1"/>
      <c r="L69" s="1"/>
      <c r="M69" s="1"/>
      <c r="N69" s="1"/>
      <c r="O69" s="1"/>
      <c r="P69" s="1"/>
      <c r="Q69" s="1"/>
      <c r="R69" s="1"/>
      <c r="S69" s="1"/>
      <c r="T69" s="1"/>
      <c r="U69" s="1"/>
      <c r="V69" s="1"/>
    </row>
    <row r="70" spans="2:22" ht="21" customHeight="1">
      <c r="B70" s="177" t="s">
        <v>143</v>
      </c>
      <c r="C70" s="177"/>
      <c r="D70" s="177"/>
      <c r="E70" s="177"/>
      <c r="F70" s="177"/>
      <c r="G70" s="177"/>
      <c r="H70" s="177"/>
      <c r="I70" s="177"/>
      <c r="J70" s="177"/>
      <c r="K70" s="177"/>
      <c r="L70" s="177"/>
      <c r="M70" s="177"/>
      <c r="N70" s="177"/>
      <c r="O70" s="177"/>
      <c r="P70" s="177"/>
      <c r="Q70" s="177"/>
      <c r="R70" s="177"/>
      <c r="S70" s="177"/>
      <c r="T70" s="177"/>
      <c r="U70" s="177"/>
      <c r="V70" s="177"/>
    </row>
    <row r="71" spans="2:22">
      <c r="B71" s="1"/>
      <c r="C71" s="1"/>
      <c r="D71" s="1"/>
      <c r="E71" s="1"/>
      <c r="F71" s="1"/>
      <c r="G71" s="1"/>
      <c r="H71" s="1"/>
      <c r="I71" s="1"/>
      <c r="J71" s="1"/>
      <c r="K71" s="1"/>
      <c r="L71" s="1"/>
      <c r="M71" s="1"/>
      <c r="N71" s="1"/>
      <c r="O71" s="1"/>
      <c r="P71" s="1"/>
      <c r="Q71" s="1"/>
      <c r="R71" s="1"/>
      <c r="S71" s="1"/>
      <c r="T71" s="1"/>
      <c r="U71" s="1"/>
      <c r="V71" s="1"/>
    </row>
    <row r="72" spans="2:22">
      <c r="B72" s="1"/>
      <c r="C72" s="234" t="s">
        <v>144</v>
      </c>
      <c r="D72" s="235"/>
      <c r="E72" s="235"/>
      <c r="F72" s="235"/>
      <c r="G72" s="163"/>
      <c r="H72" s="163">
        <f>Model!E251</f>
        <v>7.4999999999999997E-2</v>
      </c>
      <c r="I72" s="163">
        <f>Model!F251</f>
        <v>0.08</v>
      </c>
      <c r="J72" s="163">
        <f>Model!G251</f>
        <v>8.5000000000000006E-2</v>
      </c>
      <c r="K72" s="163">
        <f>Model!H251</f>
        <v>0.09</v>
      </c>
      <c r="L72" s="163">
        <f>Model!I251</f>
        <v>9.5000000000000001E-2</v>
      </c>
      <c r="N72" s="237" t="s">
        <v>145</v>
      </c>
      <c r="O72" s="238"/>
      <c r="P72" s="238"/>
      <c r="Q72" s="238"/>
      <c r="R72" s="238"/>
      <c r="S72" s="238"/>
      <c r="T72" s="238"/>
      <c r="U72" s="238"/>
      <c r="V72" s="239"/>
    </row>
    <row r="73" spans="2:22">
      <c r="B73" s="1"/>
      <c r="C73" s="236">
        <f>Model!D252</f>
        <v>0.02</v>
      </c>
      <c r="D73" s="236"/>
      <c r="E73" s="236"/>
      <c r="F73" s="236"/>
      <c r="H73" s="164">
        <f>Model!E252</f>
        <v>65.220609069513372</v>
      </c>
      <c r="I73" s="164">
        <f>Model!F252</f>
        <v>59.5754297027948</v>
      </c>
      <c r="J73" s="164">
        <f>Model!G252</f>
        <v>54.803343680152381</v>
      </c>
      <c r="K73" s="164">
        <f>Model!H252</f>
        <v>50.717157441908988</v>
      </c>
      <c r="L73" s="164">
        <f>Model!I252</f>
        <v>47.179598469949809</v>
      </c>
      <c r="N73" s="240"/>
      <c r="O73" s="241"/>
      <c r="P73" s="241"/>
      <c r="Q73" s="241"/>
      <c r="R73" s="241"/>
      <c r="S73" s="241"/>
      <c r="T73" s="241"/>
      <c r="U73" s="241"/>
      <c r="V73" s="242"/>
    </row>
    <row r="74" spans="2:22">
      <c r="B74" s="1"/>
      <c r="C74" s="236">
        <f>Model!D253</f>
        <v>2.2499999999999999E-2</v>
      </c>
      <c r="D74" s="236"/>
      <c r="E74" s="236"/>
      <c r="F74" s="236"/>
      <c r="H74" s="164">
        <f>Model!E253</f>
        <v>67.850674382620653</v>
      </c>
      <c r="I74" s="164">
        <f>Model!F253</f>
        <v>61.736198334353496</v>
      </c>
      <c r="J74" s="164">
        <f>Model!G253</f>
        <v>56.604743258509139</v>
      </c>
      <c r="K74" s="164">
        <f>Model!H253</f>
        <v>52.237756015901184</v>
      </c>
      <c r="L74" s="164">
        <f>Model!I253</f>
        <v>48.476976791411616</v>
      </c>
      <c r="N74" s="240"/>
      <c r="O74" s="241"/>
      <c r="P74" s="241"/>
      <c r="Q74" s="241"/>
      <c r="R74" s="241"/>
      <c r="S74" s="241"/>
      <c r="T74" s="241"/>
      <c r="U74" s="241"/>
      <c r="V74" s="242"/>
    </row>
    <row r="75" spans="2:22">
      <c r="B75" s="1"/>
      <c r="C75" s="236">
        <f>Model!D254</f>
        <v>2.5000000000000001E-2</v>
      </c>
      <c r="D75" s="236"/>
      <c r="E75" s="236"/>
      <c r="F75" s="236"/>
      <c r="H75" s="164">
        <f>Model!E254</f>
        <v>70.743746227038685</v>
      </c>
      <c r="I75" s="164">
        <f>Model!F254</f>
        <v>64.093400477872066</v>
      </c>
      <c r="J75" s="164">
        <f>Model!G254</f>
        <v>58.556259468395631</v>
      </c>
      <c r="K75" s="164">
        <f>Model!H254</f>
        <v>53.87532371096971</v>
      </c>
      <c r="L75" s="164">
        <f>Model!I254</f>
        <v>49.867024992977839</v>
      </c>
      <c r="N75" s="240"/>
      <c r="O75" s="241"/>
      <c r="P75" s="241"/>
      <c r="Q75" s="241"/>
      <c r="R75" s="241"/>
      <c r="S75" s="241"/>
      <c r="T75" s="241"/>
      <c r="U75" s="241"/>
      <c r="V75" s="242"/>
    </row>
    <row r="76" spans="2:22">
      <c r="B76" s="1"/>
      <c r="C76" s="236">
        <f>Model!D255</f>
        <v>2.75E-2</v>
      </c>
      <c r="D76" s="236"/>
      <c r="E76" s="236"/>
      <c r="F76" s="236"/>
      <c r="H76" s="164">
        <f>Model!E255</f>
        <v>73.941351949816507</v>
      </c>
      <c r="I76" s="164">
        <f>Model!F255</f>
        <v>66.675098063630514</v>
      </c>
      <c r="J76" s="164">
        <f>Model!G255</f>
        <v>60.677472740011403</v>
      </c>
      <c r="K76" s="164">
        <f>Model!H255</f>
        <v>55.643896821643736</v>
      </c>
      <c r="L76" s="164">
        <f>Model!I255</f>
        <v>51.360039727993424</v>
      </c>
      <c r="N76" s="240"/>
      <c r="O76" s="241"/>
      <c r="P76" s="241"/>
      <c r="Q76" s="241"/>
      <c r="R76" s="241"/>
      <c r="S76" s="241"/>
      <c r="T76" s="241"/>
      <c r="U76" s="241"/>
      <c r="V76" s="242"/>
    </row>
    <row r="77" spans="2:22">
      <c r="B77" s="1"/>
      <c r="C77" s="236">
        <f>Model!D256</f>
        <v>0.03</v>
      </c>
      <c r="D77" s="236"/>
      <c r="E77" s="236"/>
      <c r="F77" s="236"/>
      <c r="H77" s="164">
        <f>Model!E256</f>
        <v>77.494247197347406</v>
      </c>
      <c r="I77" s="164">
        <f>Model!F256</f>
        <v>69.514965407964809</v>
      </c>
      <c r="J77" s="164">
        <f>Model!G256</f>
        <v>62.991523581774047</v>
      </c>
      <c r="K77" s="164">
        <f>Model!H256</f>
        <v>57.559851024873915</v>
      </c>
      <c r="L77" s="164">
        <f>Model!I256</f>
        <v>52.967901750317886</v>
      </c>
      <c r="N77" s="243"/>
      <c r="O77" s="244"/>
      <c r="P77" s="244"/>
      <c r="Q77" s="244"/>
      <c r="R77" s="244"/>
      <c r="S77" s="244"/>
      <c r="T77" s="244"/>
      <c r="U77" s="244"/>
      <c r="V77" s="245"/>
    </row>
    <row r="78" spans="2:22">
      <c r="B78" s="1"/>
      <c r="C78" s="1"/>
      <c r="D78" s="1"/>
      <c r="E78" s="1"/>
      <c r="F78" s="1"/>
      <c r="G78" s="1"/>
      <c r="H78" s="1"/>
      <c r="I78" s="1"/>
      <c r="J78" s="1"/>
      <c r="K78" s="1"/>
      <c r="L78" s="1"/>
      <c r="M78" s="1"/>
      <c r="N78" s="1"/>
      <c r="O78" s="1"/>
      <c r="P78" s="1"/>
      <c r="Q78" s="1"/>
      <c r="R78" s="1"/>
      <c r="S78" s="1"/>
      <c r="T78" s="1"/>
      <c r="U78" s="1"/>
      <c r="V78" s="1"/>
    </row>
    <row r="79" spans="2:22">
      <c r="B79" s="1"/>
      <c r="C79" s="1"/>
      <c r="D79" s="1"/>
      <c r="E79" s="1"/>
      <c r="F79" s="1"/>
      <c r="G79" s="1"/>
      <c r="H79" s="1"/>
      <c r="I79" s="1"/>
      <c r="J79" s="1"/>
      <c r="K79" s="1"/>
      <c r="L79" s="1"/>
      <c r="M79" s="1"/>
      <c r="N79" s="1"/>
      <c r="O79" s="1"/>
      <c r="P79" s="1"/>
      <c r="Q79" s="1"/>
      <c r="R79" s="1"/>
      <c r="S79" s="1"/>
      <c r="T79" s="1"/>
      <c r="U79" s="1"/>
      <c r="V79" s="1"/>
    </row>
    <row r="80" spans="2:22" ht="21" customHeight="1">
      <c r="B80" s="177" t="s">
        <v>146</v>
      </c>
      <c r="C80" s="177"/>
      <c r="D80" s="177"/>
      <c r="E80" s="177"/>
      <c r="F80" s="177"/>
      <c r="G80" s="177"/>
      <c r="H80" s="177"/>
      <c r="I80" s="177"/>
      <c r="J80" s="177"/>
      <c r="K80" s="177"/>
      <c r="L80" s="177"/>
      <c r="M80" s="177"/>
      <c r="N80" s="177"/>
      <c r="O80" s="177"/>
      <c r="P80" s="177"/>
      <c r="Q80" s="177"/>
      <c r="R80" s="177"/>
      <c r="S80" s="177"/>
      <c r="T80" s="177"/>
      <c r="U80" s="177"/>
      <c r="V80" s="177"/>
    </row>
    <row r="81" spans="2:22">
      <c r="B81" s="1"/>
      <c r="C81" s="1"/>
      <c r="D81" s="1"/>
      <c r="E81" s="1"/>
      <c r="F81" s="1"/>
      <c r="G81" s="1"/>
      <c r="H81" s="1"/>
      <c r="I81" s="1"/>
      <c r="J81" s="1"/>
      <c r="K81" s="1"/>
      <c r="L81" s="1"/>
      <c r="M81" s="1"/>
      <c r="N81" s="1"/>
      <c r="O81" s="1"/>
      <c r="P81" s="1"/>
      <c r="Q81" s="1"/>
      <c r="R81" s="1"/>
      <c r="S81" s="1"/>
      <c r="T81" s="1"/>
      <c r="U81" s="1"/>
      <c r="V81" s="1"/>
    </row>
    <row r="82" spans="2:22">
      <c r="B82" s="1"/>
      <c r="C82" s="4" t="s">
        <v>147</v>
      </c>
      <c r="D82" s="4" t="s">
        <v>98</v>
      </c>
      <c r="E82" s="4" t="s">
        <v>148</v>
      </c>
      <c r="F82" s="4" t="s">
        <v>149</v>
      </c>
      <c r="G82" s="1"/>
      <c r="H82" s="1"/>
      <c r="I82" s="1"/>
      <c r="J82" s="1"/>
      <c r="K82" s="1"/>
      <c r="L82" s="1"/>
      <c r="M82" s="1"/>
      <c r="N82" s="1"/>
      <c r="O82" s="1"/>
      <c r="P82" s="1"/>
      <c r="Q82" s="1"/>
      <c r="R82" s="1"/>
      <c r="S82" s="1"/>
      <c r="T82" s="1"/>
      <c r="U82" s="1"/>
      <c r="V82" s="1"/>
    </row>
    <row r="83" spans="2:22" ht="28" customHeight="1">
      <c r="B83" s="1"/>
      <c r="C83" s="168" t="s">
        <v>150</v>
      </c>
      <c r="D83" s="165" t="s">
        <v>124</v>
      </c>
      <c r="E83" s="165" t="s">
        <v>151</v>
      </c>
      <c r="F83" s="136" t="s">
        <v>152</v>
      </c>
      <c r="G83" s="1"/>
      <c r="H83" s="1"/>
      <c r="I83" s="1"/>
      <c r="J83" s="1"/>
      <c r="K83" s="1"/>
      <c r="L83" s="1"/>
      <c r="M83" s="1"/>
      <c r="N83" s="1"/>
      <c r="O83" s="1"/>
      <c r="P83" s="1"/>
      <c r="Q83" s="1"/>
      <c r="R83" s="1"/>
      <c r="S83" s="1"/>
      <c r="T83" s="1"/>
      <c r="U83" s="1"/>
      <c r="V83" s="1"/>
    </row>
    <row r="84" spans="2:22" ht="28" customHeight="1">
      <c r="B84" s="1"/>
      <c r="C84" s="169" t="s">
        <v>153</v>
      </c>
      <c r="D84" s="166" t="s">
        <v>128</v>
      </c>
      <c r="E84" s="166" t="s">
        <v>154</v>
      </c>
      <c r="F84" s="139" t="s">
        <v>155</v>
      </c>
      <c r="G84" s="1"/>
      <c r="H84" s="1"/>
      <c r="I84" s="1"/>
      <c r="J84" s="1"/>
      <c r="K84" s="1"/>
      <c r="L84" s="1"/>
      <c r="M84" s="1"/>
      <c r="N84" s="1"/>
      <c r="O84" s="1"/>
      <c r="P84" s="1"/>
      <c r="Q84" s="1"/>
      <c r="R84" s="1"/>
      <c r="S84" s="1"/>
      <c r="T84" s="1"/>
      <c r="U84" s="1"/>
      <c r="V84" s="1"/>
    </row>
    <row r="85" spans="2:22" ht="28" customHeight="1">
      <c r="B85" s="1"/>
      <c r="C85" s="169" t="s">
        <v>156</v>
      </c>
      <c r="D85" s="166" t="s">
        <v>118</v>
      </c>
      <c r="E85" s="166" t="s">
        <v>157</v>
      </c>
      <c r="F85" s="139" t="s">
        <v>158</v>
      </c>
      <c r="G85" s="1"/>
      <c r="H85" s="1"/>
      <c r="I85" s="1"/>
      <c r="J85" s="1"/>
      <c r="K85" s="1"/>
      <c r="L85" s="1"/>
      <c r="M85" s="1"/>
      <c r="N85" s="1"/>
      <c r="O85" s="1"/>
      <c r="P85" s="1"/>
      <c r="Q85" s="1"/>
      <c r="R85" s="1"/>
      <c r="S85" s="1"/>
      <c r="T85" s="1"/>
      <c r="U85" s="1"/>
      <c r="V85" s="1"/>
    </row>
    <row r="86" spans="2:22" ht="28" customHeight="1">
      <c r="B86" s="1"/>
      <c r="C86" s="170" t="s">
        <v>159</v>
      </c>
      <c r="D86" s="167" t="s">
        <v>160</v>
      </c>
      <c r="E86" s="167" t="s">
        <v>161</v>
      </c>
      <c r="F86" s="142" t="s">
        <v>162</v>
      </c>
      <c r="G86" s="1"/>
      <c r="H86" s="1"/>
      <c r="I86" s="1"/>
      <c r="J86" s="1"/>
      <c r="K86" s="1"/>
      <c r="L86" s="1"/>
      <c r="M86" s="1"/>
      <c r="N86" s="1"/>
      <c r="O86" s="1"/>
      <c r="P86" s="1"/>
      <c r="Q86" s="1"/>
      <c r="R86" s="1"/>
      <c r="S86" s="1"/>
      <c r="T86" s="1"/>
      <c r="U86" s="1"/>
      <c r="V86" s="1"/>
    </row>
    <row r="87" spans="2:22">
      <c r="B87" s="1"/>
      <c r="C87" s="1"/>
      <c r="D87" s="1"/>
      <c r="E87" s="1"/>
      <c r="F87" s="1"/>
      <c r="G87" s="1"/>
      <c r="H87" s="1"/>
      <c r="I87" s="1"/>
      <c r="J87" s="1"/>
      <c r="K87" s="1"/>
      <c r="L87" s="1"/>
      <c r="M87" s="1"/>
      <c r="N87" s="1"/>
      <c r="O87" s="1"/>
      <c r="P87" s="1"/>
      <c r="Q87" s="1"/>
      <c r="R87" s="1"/>
      <c r="S87" s="1"/>
      <c r="T87" s="1"/>
      <c r="U87" s="1"/>
      <c r="V87" s="1"/>
    </row>
    <row r="88" spans="2:22">
      <c r="B88" s="1"/>
      <c r="C88" s="1"/>
      <c r="D88" s="1"/>
      <c r="E88" s="1"/>
      <c r="F88" s="1"/>
      <c r="G88" s="1"/>
      <c r="H88" s="1"/>
      <c r="I88" s="1"/>
      <c r="J88" s="1"/>
      <c r="K88" s="1"/>
      <c r="L88" s="1"/>
      <c r="M88" s="1"/>
      <c r="N88" s="1"/>
      <c r="O88" s="1"/>
      <c r="P88" s="1"/>
      <c r="Q88" s="1"/>
      <c r="R88" s="1"/>
      <c r="S88" s="1"/>
      <c r="T88" s="1"/>
      <c r="U88" s="1"/>
      <c r="V88" s="1"/>
    </row>
    <row r="89" spans="2:22">
      <c r="B89" s="1"/>
      <c r="C89" s="1"/>
      <c r="D89" s="1"/>
      <c r="E89" s="1"/>
      <c r="F89" s="1"/>
      <c r="G89" s="1"/>
      <c r="H89" s="1"/>
      <c r="I89" s="1"/>
      <c r="J89" s="1"/>
      <c r="K89" s="1"/>
      <c r="L89" s="1"/>
      <c r="M89" s="1"/>
      <c r="N89" s="1"/>
      <c r="O89" s="1"/>
      <c r="P89" s="1"/>
      <c r="Q89" s="1"/>
      <c r="R89" s="1"/>
      <c r="S89" s="1"/>
      <c r="T89" s="1"/>
      <c r="U89" s="1"/>
      <c r="V89" s="1"/>
    </row>
    <row r="90" spans="2:22">
      <c r="B90" s="1"/>
      <c r="C90" s="1"/>
      <c r="D90" s="1"/>
      <c r="E90" s="1"/>
      <c r="F90" s="1"/>
      <c r="G90" s="1"/>
      <c r="H90" s="1"/>
      <c r="I90" s="1"/>
      <c r="J90" s="1"/>
      <c r="K90" s="1"/>
      <c r="L90" s="1"/>
      <c r="M90" s="1"/>
      <c r="N90" s="1"/>
      <c r="O90" s="1"/>
      <c r="P90" s="1"/>
      <c r="Q90" s="1"/>
      <c r="R90" s="1"/>
      <c r="S90" s="1"/>
      <c r="T90" s="1"/>
      <c r="U90" s="1"/>
      <c r="V90" s="1"/>
    </row>
    <row r="91" spans="2:22">
      <c r="B91" s="1"/>
      <c r="C91" s="1"/>
      <c r="D91" s="1"/>
      <c r="E91" s="1"/>
      <c r="F91" s="1"/>
      <c r="G91" s="1"/>
      <c r="H91" s="1"/>
      <c r="I91" s="1"/>
      <c r="J91" s="1"/>
      <c r="K91" s="1"/>
      <c r="L91" s="1"/>
      <c r="M91" s="1"/>
      <c r="N91" s="1"/>
      <c r="O91" s="1"/>
      <c r="P91" s="1"/>
      <c r="Q91" s="1"/>
      <c r="R91" s="1"/>
      <c r="S91" s="1"/>
      <c r="T91" s="1"/>
      <c r="U91" s="1"/>
      <c r="V91" s="1"/>
    </row>
    <row r="92" spans="2:22">
      <c r="B92" s="1"/>
      <c r="C92" s="1"/>
      <c r="D92" s="1"/>
      <c r="E92" s="1"/>
      <c r="F92" s="1"/>
      <c r="G92" s="1"/>
      <c r="H92" s="1"/>
      <c r="I92" s="1"/>
      <c r="J92" s="1"/>
      <c r="K92" s="1"/>
      <c r="L92" s="1"/>
      <c r="M92" s="1"/>
      <c r="N92" s="1"/>
      <c r="O92" s="1"/>
      <c r="P92" s="1"/>
      <c r="Q92" s="1"/>
      <c r="R92" s="1"/>
      <c r="S92" s="1"/>
      <c r="T92" s="1"/>
      <c r="U92" s="1"/>
      <c r="V92" s="1"/>
    </row>
    <row r="93" spans="2:22">
      <c r="B93" s="1"/>
      <c r="C93" s="1"/>
      <c r="D93" s="1"/>
      <c r="E93" s="1"/>
      <c r="F93" s="1"/>
      <c r="G93" s="1"/>
      <c r="H93" s="1"/>
      <c r="I93" s="1"/>
      <c r="J93" s="1"/>
      <c r="K93" s="1"/>
      <c r="L93" s="1"/>
      <c r="M93" s="1"/>
      <c r="N93" s="1"/>
      <c r="O93" s="1"/>
      <c r="P93" s="1"/>
      <c r="Q93" s="1"/>
      <c r="R93" s="1"/>
      <c r="S93" s="1"/>
      <c r="T93" s="1"/>
      <c r="U93" s="1"/>
      <c r="V93" s="1"/>
    </row>
    <row r="94" spans="2:22">
      <c r="B94" s="1"/>
      <c r="C94" s="1"/>
      <c r="D94" s="1"/>
      <c r="E94" s="1"/>
      <c r="F94" s="1"/>
      <c r="G94" s="1"/>
      <c r="H94" s="1"/>
      <c r="I94" s="1"/>
      <c r="J94" s="1"/>
      <c r="K94" s="1"/>
      <c r="L94" s="1"/>
      <c r="M94" s="1"/>
      <c r="N94" s="1"/>
      <c r="O94" s="1"/>
      <c r="P94" s="1"/>
      <c r="Q94" s="1"/>
      <c r="R94" s="1"/>
      <c r="S94" s="1"/>
      <c r="T94" s="1"/>
      <c r="U94" s="1"/>
      <c r="V94" s="1"/>
    </row>
    <row r="95" spans="2:22">
      <c r="B95" s="1"/>
      <c r="C95" s="1"/>
      <c r="D95" s="1"/>
      <c r="E95" s="1"/>
      <c r="F95" s="1"/>
      <c r="G95" s="1"/>
      <c r="H95" s="1"/>
      <c r="I95" s="1"/>
      <c r="J95" s="1"/>
      <c r="K95" s="1"/>
      <c r="L95" s="1"/>
      <c r="M95" s="1"/>
      <c r="N95" s="1"/>
      <c r="O95" s="1"/>
      <c r="P95" s="1"/>
      <c r="Q95" s="1"/>
      <c r="R95" s="1"/>
      <c r="S95" s="1"/>
      <c r="T95" s="1"/>
      <c r="U95" s="1"/>
      <c r="V95" s="1"/>
    </row>
    <row r="96" spans="2:22">
      <c r="B96" s="1"/>
      <c r="C96" s="266" t="s">
        <v>163</v>
      </c>
      <c r="D96" s="266" t="s">
        <v>107</v>
      </c>
      <c r="E96" s="266" t="s">
        <v>164</v>
      </c>
      <c r="F96" s="266" t="s">
        <v>109</v>
      </c>
      <c r="G96" s="266" t="s">
        <v>111</v>
      </c>
      <c r="H96" s="266"/>
      <c r="I96" s="266"/>
      <c r="J96" s="266" t="s">
        <v>163</v>
      </c>
      <c r="K96" s="266" t="s">
        <v>165</v>
      </c>
      <c r="L96" s="266" t="s">
        <v>166</v>
      </c>
      <c r="M96" s="266" t="s">
        <v>167</v>
      </c>
      <c r="N96" s="266" t="s">
        <v>168</v>
      </c>
      <c r="O96" s="266"/>
      <c r="P96" s="1"/>
      <c r="Q96" s="1"/>
      <c r="R96" s="1"/>
      <c r="S96" s="1"/>
      <c r="T96" s="1"/>
      <c r="U96" s="1"/>
      <c r="V96" s="1"/>
    </row>
    <row r="97" spans="2:22">
      <c r="B97" s="1"/>
      <c r="C97" s="267" t="s">
        <v>99</v>
      </c>
      <c r="D97" s="267">
        <f>Model!I16</f>
        <v>46398</v>
      </c>
      <c r="E97" s="267">
        <f>Model!I18</f>
        <v>19911</v>
      </c>
      <c r="F97" s="267">
        <f>Model!I21</f>
        <v>3797</v>
      </c>
      <c r="G97" s="267">
        <f>Model!I28</f>
        <v>3108</v>
      </c>
      <c r="H97" s="267"/>
      <c r="I97" s="267"/>
      <c r="J97" s="267" t="s">
        <v>99</v>
      </c>
      <c r="K97" s="267">
        <f>Model!I122</f>
        <v>2868</v>
      </c>
      <c r="L97" s="267">
        <f>Model!I126</f>
        <v>-488</v>
      </c>
      <c r="M97" s="267">
        <f>Model!I132</f>
        <v>-2292</v>
      </c>
      <c r="N97" s="267">
        <f>Model!I134</f>
        <v>99</v>
      </c>
      <c r="O97" s="267"/>
      <c r="P97" s="1"/>
      <c r="Q97" s="1"/>
      <c r="R97" s="1"/>
      <c r="S97" s="1"/>
      <c r="T97" s="1"/>
      <c r="U97" s="1"/>
      <c r="V97" s="1"/>
    </row>
    <row r="98" spans="2:22">
      <c r="B98" s="1"/>
      <c r="C98" s="267" t="s">
        <v>100</v>
      </c>
      <c r="D98" s="267">
        <f>Model!J16</f>
        <v>48253.919999999998</v>
      </c>
      <c r="E98" s="267">
        <f>Model!J18</f>
        <v>20845.693439999999</v>
      </c>
      <c r="F98" s="267">
        <f>Model!J21</f>
        <v>3956.8214399999997</v>
      </c>
      <c r="G98" s="267">
        <f>Model!J28</f>
        <v>2995.4394679924449</v>
      </c>
      <c r="H98" s="267"/>
      <c r="I98" s="267"/>
      <c r="J98" s="267" t="s">
        <v>100</v>
      </c>
      <c r="K98" s="267">
        <f>Model!J122</f>
        <v>4569.1813201025234</v>
      </c>
      <c r="L98" s="267">
        <f>Model!J126</f>
        <v>-1045.2038399999997</v>
      </c>
      <c r="M98" s="267">
        <f>Model!J132</f>
        <v>-2797.0356541950891</v>
      </c>
      <c r="N98" s="267">
        <f>Model!J134</f>
        <v>726.94182590743458</v>
      </c>
      <c r="O98" s="267"/>
      <c r="P98" s="1"/>
      <c r="Q98" s="1"/>
      <c r="R98" s="1"/>
      <c r="S98" s="1"/>
      <c r="T98" s="1"/>
      <c r="U98" s="1"/>
      <c r="V98" s="1"/>
    </row>
    <row r="99" spans="2:22">
      <c r="B99" s="1"/>
      <c r="C99" s="267" t="s">
        <v>101</v>
      </c>
      <c r="D99" s="267">
        <f>Model!K16</f>
        <v>50666.616000000002</v>
      </c>
      <c r="E99" s="267">
        <f>Model!K18</f>
        <v>22191.977808</v>
      </c>
      <c r="F99" s="267">
        <f>Model!K21</f>
        <v>4762.6619039999969</v>
      </c>
      <c r="G99" s="267">
        <f>Model!K28</f>
        <v>3673.1320548403369</v>
      </c>
      <c r="H99" s="267"/>
      <c r="I99" s="267"/>
      <c r="J99" s="267" t="s">
        <v>101</v>
      </c>
      <c r="K99" s="267">
        <f>Model!K122</f>
        <v>5323.0463760984267</v>
      </c>
      <c r="L99" s="267">
        <f>Model!K126</f>
        <v>-1085.7132000000006</v>
      </c>
      <c r="M99" s="267">
        <f>Model!K132</f>
        <v>-3127.3418740010088</v>
      </c>
      <c r="N99" s="267">
        <f>Model!K134</f>
        <v>1109.9913020974168</v>
      </c>
      <c r="O99" s="267"/>
      <c r="P99" s="1"/>
      <c r="Q99" s="1"/>
      <c r="R99" s="1"/>
      <c r="S99" s="1"/>
      <c r="T99" s="1"/>
      <c r="U99" s="1"/>
      <c r="V99" s="1"/>
    </row>
    <row r="100" spans="2:22">
      <c r="B100" s="1"/>
      <c r="C100" s="267" t="s">
        <v>102</v>
      </c>
      <c r="D100" s="267">
        <f>Model!L16</f>
        <v>53453.279880000002</v>
      </c>
      <c r="E100" s="267">
        <f>Model!L18</f>
        <v>23733.25626672</v>
      </c>
      <c r="F100" s="267">
        <f>Model!L21</f>
        <v>5719.5009471599988</v>
      </c>
      <c r="G100" s="267">
        <f>Model!L28</f>
        <v>4479.561834815132</v>
      </c>
      <c r="H100" s="267"/>
      <c r="I100" s="267"/>
      <c r="J100" s="267" t="s">
        <v>102</v>
      </c>
      <c r="K100" s="267">
        <f>Model!L122</f>
        <v>6124.0375276779905</v>
      </c>
      <c r="L100" s="267">
        <f>Model!L126</f>
        <v>-1096.4255702399998</v>
      </c>
      <c r="M100" s="267">
        <f>Model!L132</f>
        <v>-3537.7371008890791</v>
      </c>
      <c r="N100" s="267">
        <f>Model!L134</f>
        <v>1489.8748565489118</v>
      </c>
      <c r="O100" s="267"/>
      <c r="P100" s="1"/>
      <c r="Q100" s="1"/>
      <c r="R100" s="1"/>
      <c r="S100" s="1"/>
      <c r="T100" s="1"/>
      <c r="U100" s="1"/>
      <c r="V100" s="1"/>
    </row>
    <row r="101" spans="2:22">
      <c r="B101" s="1"/>
      <c r="C101" s="267" t="s">
        <v>103</v>
      </c>
      <c r="D101" s="267">
        <f>Model!M16</f>
        <v>56393.2102734</v>
      </c>
      <c r="E101" s="267">
        <f>Model!M18</f>
        <v>25320.551412756602</v>
      </c>
      <c r="F101" s="267">
        <f>Model!M21</f>
        <v>6654.3988122612027</v>
      </c>
      <c r="G101" s="267">
        <f>Model!M28</f>
        <v>5276.1861673053681</v>
      </c>
      <c r="H101" s="267"/>
      <c r="I101" s="267"/>
      <c r="J101" s="267" t="s">
        <v>103</v>
      </c>
      <c r="K101" s="267">
        <f>Model!M122</f>
        <v>7012.9294639770451</v>
      </c>
      <c r="L101" s="267">
        <f>Model!M126</f>
        <v>-1097.3958359363999</v>
      </c>
      <c r="M101" s="267">
        <f>Model!M132</f>
        <v>-3910.1879770371133</v>
      </c>
      <c r="N101" s="267">
        <f>Model!M134</f>
        <v>2005.3456510035321</v>
      </c>
      <c r="O101" s="267"/>
      <c r="P101" s="1"/>
      <c r="Q101" s="1"/>
      <c r="R101" s="1"/>
      <c r="S101" s="1"/>
      <c r="T101" s="1"/>
      <c r="U101" s="1"/>
      <c r="V101" s="1"/>
    </row>
    <row r="102" spans="2:22">
      <c r="B102" s="1"/>
      <c r="C102" s="267" t="s">
        <v>104</v>
      </c>
      <c r="D102" s="267">
        <f>Model!N16</f>
        <v>59494.836838436997</v>
      </c>
      <c r="E102" s="267">
        <f>Model!N18</f>
        <v>26951.161087811961</v>
      </c>
      <c r="F102" s="267">
        <f>Model!N21</f>
        <v>7555.8442784814997</v>
      </c>
      <c r="G102" s="267">
        <f>Model!N28</f>
        <v>6056.3910999060645</v>
      </c>
      <c r="H102" s="267"/>
      <c r="I102" s="267"/>
      <c r="J102" s="267" t="s">
        <v>104</v>
      </c>
      <c r="K102" s="267">
        <f>Model!N122</f>
        <v>7890.5742888744844</v>
      </c>
      <c r="L102" s="267">
        <f>Model!N126</f>
        <v>-1095.1561435094277</v>
      </c>
      <c r="M102" s="267">
        <f>Model!N132</f>
        <v>-4181.0151049483356</v>
      </c>
      <c r="N102" s="267">
        <f>Model!N134</f>
        <v>2614.4030404167206</v>
      </c>
      <c r="O102" s="267"/>
      <c r="P102" s="1"/>
      <c r="Q102" s="1"/>
      <c r="R102" s="1"/>
      <c r="S102" s="1"/>
      <c r="T102" s="1"/>
      <c r="U102" s="1"/>
      <c r="V102" s="1"/>
    </row>
    <row r="103" spans="2:22">
      <c r="B103" s="1"/>
      <c r="C103" s="1"/>
      <c r="D103" s="1"/>
      <c r="E103" s="1"/>
      <c r="F103" s="1"/>
      <c r="G103" s="1"/>
      <c r="H103" s="1"/>
      <c r="I103" s="1"/>
      <c r="J103" s="1"/>
      <c r="K103" s="1"/>
      <c r="L103" s="1"/>
      <c r="M103" s="1"/>
      <c r="N103" s="1"/>
      <c r="O103" s="1"/>
      <c r="P103" s="1"/>
      <c r="Q103" s="1"/>
      <c r="R103" s="1"/>
      <c r="S103" s="1"/>
      <c r="T103" s="1"/>
      <c r="U103" s="1"/>
      <c r="V103" s="1"/>
    </row>
    <row r="104" spans="2:22">
      <c r="B104" s="1"/>
      <c r="C104" s="1"/>
      <c r="D104" s="1"/>
      <c r="E104" s="1"/>
      <c r="F104" s="1"/>
      <c r="G104" s="1"/>
      <c r="H104" s="1"/>
      <c r="I104" s="1"/>
      <c r="J104" s="1"/>
      <c r="K104" s="1"/>
      <c r="L104" s="1"/>
      <c r="M104" s="1"/>
      <c r="N104" s="1"/>
      <c r="O104" s="1"/>
      <c r="P104" s="1"/>
      <c r="Q104" s="1"/>
      <c r="R104" s="1"/>
      <c r="S104" s="1"/>
      <c r="T104" s="1"/>
      <c r="U104" s="1"/>
      <c r="V104" s="1"/>
    </row>
    <row r="105" spans="2:22">
      <c r="B105" s="1"/>
      <c r="C105" s="1"/>
      <c r="D105" s="1"/>
      <c r="E105" s="1"/>
      <c r="F105" s="1"/>
      <c r="G105" s="1"/>
      <c r="H105" s="1"/>
      <c r="I105" s="1"/>
      <c r="J105" s="1"/>
      <c r="K105" s="1"/>
      <c r="L105" s="1"/>
      <c r="M105" s="1"/>
      <c r="N105" s="1"/>
      <c r="O105" s="1"/>
      <c r="P105" s="1"/>
      <c r="Q105" s="1"/>
      <c r="R105" s="1"/>
      <c r="S105" s="1"/>
      <c r="T105" s="1"/>
      <c r="U105" s="1"/>
      <c r="V105" s="1"/>
    </row>
    <row r="106" spans="2:22">
      <c r="B106" s="1"/>
      <c r="C106" s="1"/>
      <c r="D106" s="1"/>
      <c r="E106" s="1"/>
      <c r="F106" s="1"/>
      <c r="G106" s="1"/>
      <c r="H106" s="1"/>
      <c r="I106" s="1"/>
      <c r="J106" s="1"/>
      <c r="K106" s="1"/>
      <c r="L106" s="1"/>
      <c r="M106" s="1"/>
      <c r="N106" s="1"/>
      <c r="O106" s="1"/>
      <c r="P106" s="1"/>
      <c r="Q106" s="1"/>
      <c r="R106" s="1"/>
      <c r="S106" s="1"/>
      <c r="T106" s="1"/>
      <c r="U106" s="1"/>
      <c r="V106" s="1"/>
    </row>
    <row r="107" spans="2:22">
      <c r="B107" s="1"/>
      <c r="C107" s="1"/>
      <c r="D107" s="1"/>
      <c r="E107" s="1"/>
      <c r="F107" s="1"/>
      <c r="G107" s="1"/>
      <c r="H107" s="1"/>
      <c r="I107" s="1"/>
      <c r="J107" s="1"/>
      <c r="K107" s="1"/>
      <c r="L107" s="1"/>
      <c r="M107" s="1"/>
      <c r="N107" s="1"/>
      <c r="O107" s="1"/>
      <c r="P107" s="1"/>
      <c r="Q107" s="1"/>
      <c r="R107" s="1"/>
      <c r="S107" s="1"/>
      <c r="T107" s="1"/>
      <c r="U107" s="1"/>
      <c r="V107" s="1"/>
    </row>
    <row r="108" spans="2:22">
      <c r="B108" s="1"/>
      <c r="C108" s="1"/>
      <c r="D108" s="1"/>
      <c r="E108" s="1"/>
      <c r="F108" s="1"/>
      <c r="G108" s="1"/>
      <c r="H108" s="1"/>
      <c r="I108" s="1"/>
      <c r="J108" s="1"/>
      <c r="K108" s="1"/>
      <c r="L108" s="1"/>
      <c r="M108" s="1"/>
      <c r="N108" s="1"/>
      <c r="O108" s="1"/>
      <c r="P108" s="1"/>
      <c r="Q108" s="1"/>
      <c r="R108" s="1"/>
      <c r="S108" s="1"/>
      <c r="T108" s="1"/>
      <c r="U108" s="1"/>
      <c r="V108" s="1"/>
    </row>
    <row r="109" spans="2:22">
      <c r="B109" s="1"/>
      <c r="C109" s="1"/>
      <c r="D109" s="1"/>
      <c r="E109" s="1"/>
      <c r="F109" s="1"/>
      <c r="G109" s="1"/>
      <c r="H109" s="1"/>
      <c r="I109" s="1"/>
      <c r="J109" s="1"/>
      <c r="K109" s="1"/>
      <c r="L109" s="1"/>
      <c r="M109" s="1"/>
      <c r="N109" s="1"/>
      <c r="O109" s="1"/>
      <c r="P109" s="1"/>
      <c r="Q109" s="1"/>
      <c r="R109" s="1"/>
      <c r="S109" s="1"/>
      <c r="T109" s="1"/>
      <c r="U109" s="1"/>
      <c r="V109" s="1"/>
    </row>
    <row r="110" spans="2:22">
      <c r="B110" s="1"/>
      <c r="C110" s="1"/>
      <c r="D110" s="1"/>
      <c r="E110" s="1"/>
      <c r="F110" s="1"/>
      <c r="G110" s="1"/>
      <c r="H110" s="1"/>
      <c r="I110" s="1"/>
      <c r="J110" s="1"/>
      <c r="K110" s="1"/>
      <c r="L110" s="1"/>
      <c r="M110" s="1"/>
      <c r="N110" s="1"/>
      <c r="O110" s="1"/>
      <c r="P110" s="1"/>
      <c r="Q110" s="1"/>
      <c r="R110" s="1"/>
      <c r="S110" s="1"/>
      <c r="T110" s="1"/>
      <c r="U110" s="1"/>
      <c r="V110" s="1"/>
    </row>
    <row r="111" spans="2:22">
      <c r="B111" s="1"/>
      <c r="C111" s="1"/>
      <c r="D111" s="1"/>
      <c r="E111" s="1"/>
      <c r="F111" s="1"/>
      <c r="G111" s="1"/>
      <c r="H111" s="1"/>
      <c r="I111" s="1"/>
      <c r="J111" s="1"/>
      <c r="K111" s="1"/>
      <c r="L111" s="1"/>
      <c r="M111" s="1"/>
      <c r="N111" s="1"/>
      <c r="O111" s="1"/>
      <c r="P111" s="1"/>
      <c r="Q111" s="1"/>
      <c r="R111" s="1"/>
    </row>
    <row r="112" spans="2:22">
      <c r="B112" s="1"/>
      <c r="C112" s="1"/>
      <c r="D112" s="1"/>
      <c r="E112" s="1"/>
      <c r="F112" s="1"/>
      <c r="G112" s="1"/>
      <c r="H112" s="1"/>
      <c r="I112" s="1"/>
      <c r="J112" s="1"/>
      <c r="K112" s="1"/>
      <c r="L112" s="1"/>
      <c r="M112" s="1"/>
      <c r="N112" s="1"/>
      <c r="O112" s="1"/>
      <c r="P112" s="1"/>
      <c r="Q112" s="1"/>
      <c r="R112" s="1"/>
    </row>
    <row r="113" spans="2:18">
      <c r="B113" s="1"/>
      <c r="C113" s="1"/>
      <c r="D113" s="1"/>
      <c r="E113" s="1"/>
      <c r="F113" s="1"/>
      <c r="G113" s="1"/>
      <c r="H113" s="1"/>
      <c r="I113" s="1"/>
      <c r="J113" s="1"/>
      <c r="K113" s="1"/>
      <c r="L113" s="1"/>
      <c r="M113" s="1"/>
      <c r="N113" s="1"/>
      <c r="O113" s="1"/>
      <c r="P113" s="1"/>
      <c r="Q113" s="1"/>
      <c r="R113" s="1"/>
    </row>
    <row r="114" spans="2:18">
      <c r="B114" s="1"/>
      <c r="C114" s="1"/>
      <c r="D114" s="1"/>
      <c r="E114" s="1"/>
      <c r="F114" s="1"/>
      <c r="G114" s="1"/>
      <c r="H114" s="1"/>
      <c r="I114" s="1"/>
      <c r="J114" s="1"/>
      <c r="K114" s="1"/>
      <c r="L114" s="1"/>
      <c r="M114" s="1"/>
      <c r="N114" s="1"/>
      <c r="O114" s="1"/>
      <c r="P114" s="1"/>
      <c r="Q114" s="1"/>
      <c r="R114" s="1"/>
    </row>
    <row r="115" spans="2:18">
      <c r="B115" s="1"/>
      <c r="C115" s="1"/>
      <c r="D115" s="1"/>
      <c r="E115" s="1"/>
      <c r="F115" s="1"/>
      <c r="G115" s="1"/>
      <c r="H115" s="1"/>
      <c r="I115" s="1"/>
      <c r="J115" s="1"/>
      <c r="K115" s="1"/>
      <c r="L115" s="1"/>
      <c r="M115" s="1"/>
      <c r="N115" s="1"/>
      <c r="O115" s="1"/>
      <c r="P115" s="1"/>
      <c r="Q115" s="1"/>
      <c r="R115" s="1"/>
    </row>
    <row r="116" spans="2:18">
      <c r="B116" s="1"/>
      <c r="C116" s="1"/>
      <c r="D116" s="1"/>
      <c r="E116" s="1"/>
      <c r="F116" s="1"/>
      <c r="G116" s="1"/>
      <c r="H116" s="1"/>
      <c r="I116" s="1"/>
      <c r="J116" s="1"/>
      <c r="K116" s="1"/>
      <c r="L116" s="1"/>
      <c r="M116" s="1"/>
      <c r="N116" s="1"/>
      <c r="O116" s="1"/>
      <c r="P116" s="1"/>
      <c r="Q116" s="1"/>
      <c r="R116" s="1"/>
    </row>
    <row r="117" spans="2:18">
      <c r="B117" s="1"/>
      <c r="C117" s="1"/>
      <c r="D117" s="1"/>
      <c r="E117" s="1"/>
      <c r="F117" s="1"/>
      <c r="G117" s="1"/>
      <c r="H117" s="1"/>
      <c r="I117" s="1"/>
      <c r="J117" s="1"/>
      <c r="K117" s="1"/>
      <c r="L117" s="1"/>
      <c r="M117" s="1"/>
      <c r="N117" s="1"/>
      <c r="O117" s="1"/>
      <c r="P117" s="1"/>
      <c r="Q117" s="1"/>
      <c r="R117" s="1"/>
    </row>
    <row r="118" spans="2:18">
      <c r="B118" s="1"/>
      <c r="C118" s="1"/>
      <c r="D118" s="1"/>
      <c r="E118" s="1"/>
      <c r="F118" s="1"/>
      <c r="G118" s="1"/>
      <c r="H118" s="1"/>
      <c r="I118" s="1"/>
      <c r="J118" s="1"/>
      <c r="K118" s="1"/>
      <c r="L118" s="1"/>
      <c r="M118" s="1"/>
      <c r="N118" s="1"/>
      <c r="O118" s="1"/>
      <c r="P118" s="1"/>
      <c r="Q118" s="1"/>
      <c r="R118" s="1"/>
    </row>
    <row r="119" spans="2:18">
      <c r="B119" s="1"/>
      <c r="C119" s="1"/>
      <c r="D119" s="1"/>
      <c r="E119" s="1"/>
      <c r="F119" s="1"/>
      <c r="G119" s="1"/>
      <c r="H119" s="1"/>
      <c r="I119" s="1"/>
      <c r="J119" s="1"/>
      <c r="K119" s="1"/>
      <c r="L119" s="1"/>
      <c r="M119" s="1"/>
      <c r="N119" s="1"/>
      <c r="O119" s="1"/>
      <c r="P119" s="1"/>
      <c r="Q119" s="1"/>
      <c r="R119" s="1"/>
    </row>
    <row r="120" spans="2:18">
      <c r="B120" s="1"/>
      <c r="C120" s="1"/>
      <c r="D120" s="1"/>
      <c r="E120" s="1"/>
      <c r="F120" s="1"/>
      <c r="G120" s="1"/>
      <c r="H120" s="1"/>
      <c r="I120" s="1"/>
      <c r="J120" s="1"/>
      <c r="K120" s="1"/>
      <c r="L120" s="1"/>
      <c r="M120" s="1"/>
      <c r="N120" s="1"/>
      <c r="O120" s="1"/>
      <c r="P120" s="1"/>
      <c r="Q120" s="1"/>
      <c r="R120" s="1"/>
    </row>
    <row r="121" spans="2:18">
      <c r="B121" s="1"/>
      <c r="C121" s="1"/>
      <c r="D121" s="1"/>
      <c r="E121" s="1"/>
      <c r="F121" s="1"/>
      <c r="G121" s="1"/>
      <c r="H121" s="1"/>
      <c r="I121" s="1"/>
      <c r="J121" s="1"/>
      <c r="K121" s="1"/>
      <c r="L121" s="1"/>
      <c r="M121" s="1"/>
      <c r="N121" s="1"/>
      <c r="O121" s="1"/>
      <c r="P121" s="1"/>
      <c r="Q121" s="1"/>
      <c r="R121" s="1"/>
    </row>
    <row r="122" spans="2:18">
      <c r="B122" s="1"/>
      <c r="C122" s="1"/>
      <c r="D122" s="1"/>
      <c r="E122" s="1"/>
      <c r="F122" s="1"/>
      <c r="G122" s="1"/>
      <c r="H122" s="1"/>
      <c r="I122" s="1"/>
      <c r="J122" s="1"/>
      <c r="K122" s="1"/>
      <c r="L122" s="1"/>
      <c r="M122" s="1"/>
      <c r="N122" s="1"/>
      <c r="O122" s="1"/>
      <c r="P122" s="1"/>
      <c r="Q122" s="1"/>
      <c r="R122" s="1"/>
    </row>
    <row r="123" spans="2:18">
      <c r="B123" s="1"/>
      <c r="C123" s="1"/>
      <c r="D123" s="1"/>
      <c r="E123" s="1"/>
      <c r="F123" s="1"/>
      <c r="G123" s="1"/>
      <c r="H123" s="1"/>
      <c r="I123" s="1"/>
      <c r="J123" s="1"/>
      <c r="K123" s="1"/>
      <c r="L123" s="1"/>
      <c r="M123" s="1"/>
      <c r="N123" s="1"/>
      <c r="O123" s="1"/>
      <c r="P123" s="1"/>
      <c r="Q123" s="1"/>
      <c r="R123" s="1"/>
    </row>
    <row r="124" spans="2:18">
      <c r="B124" s="1"/>
      <c r="C124" s="1"/>
      <c r="D124" s="1"/>
      <c r="E124" s="1"/>
      <c r="F124" s="1"/>
      <c r="G124" s="1"/>
      <c r="H124" s="1"/>
      <c r="I124" s="1"/>
      <c r="J124" s="1"/>
      <c r="K124" s="1"/>
      <c r="L124" s="1"/>
      <c r="M124" s="1"/>
      <c r="N124" s="1"/>
      <c r="O124" s="1"/>
      <c r="P124" s="1"/>
      <c r="Q124" s="1"/>
      <c r="R124" s="1"/>
    </row>
    <row r="125" spans="2:18">
      <c r="B125" s="1"/>
      <c r="C125" s="1"/>
      <c r="D125" s="1"/>
      <c r="E125" s="1"/>
      <c r="F125" s="1"/>
      <c r="G125" s="1"/>
      <c r="H125" s="1"/>
      <c r="I125" s="1"/>
      <c r="J125" s="1"/>
      <c r="K125" s="1"/>
      <c r="L125" s="1"/>
      <c r="M125" s="1"/>
      <c r="N125" s="1"/>
      <c r="O125" s="1"/>
      <c r="P125" s="1"/>
      <c r="Q125" s="1"/>
      <c r="R125" s="1"/>
    </row>
    <row r="126" spans="2:18">
      <c r="B126" s="1"/>
      <c r="C126" s="1"/>
      <c r="D126" s="1"/>
      <c r="E126" s="1"/>
      <c r="F126" s="1"/>
      <c r="G126" s="1"/>
      <c r="H126" s="1"/>
      <c r="I126" s="1"/>
      <c r="J126" s="1"/>
      <c r="K126" s="1"/>
      <c r="L126" s="1"/>
      <c r="M126" s="1"/>
      <c r="N126" s="1"/>
      <c r="O126" s="1"/>
      <c r="P126" s="1"/>
      <c r="Q126" s="1"/>
      <c r="R126" s="1"/>
    </row>
    <row r="127" spans="2:18">
      <c r="B127" s="1"/>
      <c r="C127" s="1"/>
      <c r="D127" s="1"/>
      <c r="E127" s="1"/>
      <c r="F127" s="1"/>
      <c r="G127" s="1"/>
      <c r="H127" s="1"/>
      <c r="I127" s="1"/>
      <c r="J127" s="1"/>
      <c r="K127" s="1"/>
      <c r="L127" s="1"/>
      <c r="M127" s="1"/>
      <c r="N127" s="1"/>
      <c r="O127" s="1"/>
      <c r="P127" s="1"/>
      <c r="Q127" s="1"/>
      <c r="R127" s="1"/>
    </row>
    <row r="128" spans="2:18">
      <c r="B128" s="1"/>
      <c r="C128" s="1"/>
      <c r="D128" s="1"/>
      <c r="E128" s="1"/>
      <c r="F128" s="1"/>
      <c r="G128" s="1"/>
      <c r="H128" s="1"/>
      <c r="I128" s="1"/>
      <c r="J128" s="1"/>
      <c r="K128" s="1"/>
      <c r="L128" s="1"/>
      <c r="M128" s="1"/>
      <c r="N128" s="1"/>
      <c r="O128" s="1"/>
      <c r="P128" s="1"/>
      <c r="Q128" s="1"/>
      <c r="R128" s="1"/>
    </row>
    <row r="129" spans="2:18">
      <c r="B129" s="1"/>
      <c r="C129" s="1"/>
      <c r="D129" s="1"/>
      <c r="E129" s="1"/>
      <c r="F129" s="1"/>
      <c r="G129" s="1"/>
      <c r="H129" s="1"/>
      <c r="I129" s="1"/>
      <c r="J129" s="1"/>
      <c r="K129" s="1"/>
      <c r="L129" s="1"/>
      <c r="M129" s="1"/>
      <c r="N129" s="1"/>
      <c r="O129" s="1"/>
      <c r="P129" s="1"/>
      <c r="Q129" s="1"/>
      <c r="R129" s="1"/>
    </row>
    <row r="130" spans="2:18">
      <c r="B130" s="1"/>
      <c r="C130" s="1"/>
      <c r="D130" s="1"/>
      <c r="E130" s="1"/>
      <c r="F130" s="1"/>
      <c r="G130" s="1"/>
      <c r="H130" s="1"/>
      <c r="I130" s="1"/>
      <c r="J130" s="1"/>
      <c r="K130" s="1"/>
      <c r="L130" s="1"/>
      <c r="M130" s="1"/>
      <c r="N130" s="1"/>
      <c r="O130" s="1"/>
      <c r="P130" s="1"/>
      <c r="Q130" s="1"/>
      <c r="R130" s="1"/>
    </row>
    <row r="131" spans="2:18">
      <c r="B131" s="1"/>
      <c r="C131" s="1"/>
      <c r="D131" s="1"/>
      <c r="E131" s="1"/>
      <c r="F131" s="1"/>
      <c r="G131" s="1"/>
      <c r="H131" s="1"/>
      <c r="I131" s="1"/>
      <c r="J131" s="1"/>
      <c r="K131" s="1"/>
      <c r="L131" s="1"/>
      <c r="M131" s="1"/>
      <c r="N131" s="1"/>
      <c r="O131" s="1"/>
      <c r="P131" s="1"/>
      <c r="Q131" s="1"/>
      <c r="R131" s="1"/>
    </row>
    <row r="132" spans="2:18">
      <c r="B132" s="1"/>
      <c r="C132" s="1"/>
      <c r="D132" s="1"/>
      <c r="E132" s="1"/>
      <c r="F132" s="1"/>
      <c r="G132" s="1"/>
      <c r="H132" s="1"/>
      <c r="I132" s="1"/>
      <c r="J132" s="1"/>
      <c r="K132" s="1"/>
      <c r="L132" s="1"/>
      <c r="M132" s="1"/>
      <c r="N132" s="1"/>
      <c r="O132" s="1"/>
      <c r="P132" s="1"/>
      <c r="Q132" s="1"/>
      <c r="R132" s="1"/>
    </row>
    <row r="133" spans="2:18">
      <c r="B133" s="1"/>
      <c r="C133" s="1"/>
      <c r="D133" s="1"/>
      <c r="E133" s="1"/>
      <c r="F133" s="1"/>
      <c r="G133" s="1"/>
      <c r="H133" s="1"/>
      <c r="I133" s="1"/>
      <c r="J133" s="1"/>
      <c r="K133" s="1"/>
      <c r="L133" s="1"/>
      <c r="M133" s="1"/>
      <c r="N133" s="1"/>
      <c r="O133" s="1"/>
      <c r="P133" s="1"/>
      <c r="Q133" s="1"/>
      <c r="R133" s="1"/>
    </row>
    <row r="134" spans="2:18">
      <c r="B134" s="1"/>
      <c r="C134" s="1"/>
      <c r="D134" s="1"/>
      <c r="E134" s="1"/>
      <c r="F134" s="1"/>
      <c r="G134" s="1"/>
      <c r="H134" s="1"/>
      <c r="I134" s="1"/>
      <c r="J134" s="1"/>
      <c r="K134" s="1"/>
      <c r="L134" s="1"/>
      <c r="M134" s="1"/>
      <c r="N134" s="1"/>
      <c r="O134" s="1"/>
      <c r="P134" s="1"/>
      <c r="Q134" s="1"/>
      <c r="R134" s="1"/>
    </row>
    <row r="135" spans="2:18">
      <c r="B135" s="1"/>
      <c r="C135" s="1"/>
      <c r="D135" s="1"/>
      <c r="E135" s="1"/>
      <c r="F135" s="1"/>
      <c r="G135" s="1"/>
      <c r="H135" s="1"/>
      <c r="I135" s="1"/>
      <c r="J135" s="1"/>
      <c r="K135" s="1"/>
      <c r="L135" s="1"/>
      <c r="M135" s="1"/>
      <c r="N135" s="1"/>
      <c r="O135" s="1"/>
      <c r="P135" s="1"/>
      <c r="Q135" s="1"/>
      <c r="R135" s="1"/>
    </row>
    <row r="136" spans="2:18">
      <c r="B136" s="1"/>
      <c r="C136" s="1"/>
      <c r="D136" s="1"/>
      <c r="E136" s="1"/>
      <c r="F136" s="1"/>
      <c r="G136" s="1"/>
      <c r="H136" s="1"/>
      <c r="I136" s="1"/>
      <c r="J136" s="1"/>
      <c r="K136" s="1"/>
      <c r="L136" s="1"/>
      <c r="M136" s="1"/>
      <c r="N136" s="1"/>
      <c r="O136" s="1"/>
      <c r="P136" s="1"/>
      <c r="Q136" s="1"/>
      <c r="R136" s="1"/>
    </row>
    <row r="137" spans="2:18">
      <c r="B137" s="1"/>
      <c r="C137" s="1"/>
      <c r="D137" s="1"/>
      <c r="E137" s="1"/>
      <c r="F137" s="1"/>
      <c r="G137" s="1"/>
      <c r="H137" s="1"/>
      <c r="I137" s="1"/>
      <c r="J137" s="1"/>
      <c r="K137" s="1"/>
      <c r="L137" s="1"/>
      <c r="M137" s="1"/>
      <c r="N137" s="1"/>
      <c r="O137" s="1"/>
      <c r="P137" s="1"/>
      <c r="Q137" s="1"/>
      <c r="R137" s="1"/>
    </row>
    <row r="138" spans="2:18">
      <c r="B138" s="1"/>
      <c r="C138" s="1"/>
      <c r="D138" s="1"/>
      <c r="E138" s="1"/>
      <c r="F138" s="1"/>
      <c r="G138" s="1"/>
      <c r="H138" s="1"/>
      <c r="I138" s="1"/>
      <c r="J138" s="1"/>
      <c r="K138" s="1"/>
      <c r="L138" s="1"/>
      <c r="M138" s="1"/>
      <c r="N138" s="1"/>
      <c r="O138" s="1"/>
      <c r="P138" s="1"/>
      <c r="Q138" s="1"/>
      <c r="R138" s="1"/>
    </row>
    <row r="139" spans="2:18">
      <c r="B139" s="1"/>
      <c r="C139" s="1"/>
      <c r="D139" s="1"/>
      <c r="E139" s="1"/>
      <c r="F139" s="1"/>
      <c r="G139" s="1"/>
      <c r="H139" s="1"/>
      <c r="I139" s="1"/>
      <c r="J139" s="1"/>
      <c r="K139" s="1"/>
      <c r="L139" s="1"/>
      <c r="M139" s="1"/>
      <c r="N139" s="1"/>
      <c r="O139" s="1"/>
      <c r="P139" s="1"/>
      <c r="Q139" s="1"/>
      <c r="R139" s="1"/>
    </row>
    <row r="140" spans="2:18">
      <c r="B140" s="1"/>
      <c r="C140" s="1"/>
      <c r="D140" s="1"/>
      <c r="E140" s="1"/>
      <c r="F140" s="1"/>
      <c r="G140" s="1"/>
      <c r="H140" s="1"/>
      <c r="I140" s="1"/>
      <c r="J140" s="1"/>
      <c r="K140" s="1"/>
      <c r="L140" s="1"/>
      <c r="M140" s="1"/>
      <c r="N140" s="1"/>
      <c r="O140" s="1"/>
      <c r="P140" s="1"/>
      <c r="Q140" s="1"/>
      <c r="R140" s="1"/>
    </row>
    <row r="141" spans="2:18">
      <c r="B141" s="1"/>
      <c r="C141" s="1"/>
      <c r="D141" s="1"/>
      <c r="E141" s="1"/>
      <c r="F141" s="1"/>
      <c r="G141" s="1"/>
      <c r="H141" s="1"/>
      <c r="I141" s="1"/>
      <c r="J141" s="1"/>
      <c r="K141" s="1"/>
      <c r="L141" s="1"/>
      <c r="M141" s="1"/>
      <c r="N141" s="1"/>
      <c r="O141" s="1"/>
      <c r="P141" s="1"/>
      <c r="Q141" s="1"/>
      <c r="R141" s="1"/>
    </row>
    <row r="142" spans="2:18">
      <c r="B142" s="1"/>
      <c r="C142" s="1"/>
      <c r="D142" s="1"/>
      <c r="E142" s="1"/>
      <c r="F142" s="1"/>
      <c r="G142" s="1"/>
      <c r="H142" s="1"/>
      <c r="I142" s="1"/>
      <c r="J142" s="1"/>
      <c r="K142" s="1"/>
      <c r="L142" s="1"/>
      <c r="M142" s="1"/>
      <c r="N142" s="1"/>
      <c r="O142" s="1"/>
      <c r="P142" s="1"/>
      <c r="Q142" s="1"/>
      <c r="R142" s="1"/>
    </row>
    <row r="143" spans="2:18">
      <c r="B143" s="1"/>
      <c r="C143" s="1"/>
      <c r="D143" s="1"/>
      <c r="E143" s="1"/>
      <c r="F143" s="1"/>
      <c r="G143" s="1"/>
      <c r="H143" s="1"/>
      <c r="I143" s="1"/>
      <c r="J143" s="1"/>
      <c r="K143" s="1"/>
      <c r="L143" s="1"/>
      <c r="M143" s="1"/>
      <c r="N143" s="1"/>
      <c r="O143" s="1"/>
      <c r="P143" s="1"/>
      <c r="Q143" s="1"/>
      <c r="R143" s="1"/>
    </row>
    <row r="144" spans="2:18">
      <c r="B144" s="1"/>
      <c r="C144" s="1"/>
      <c r="D144" s="1"/>
      <c r="E144" s="1"/>
      <c r="F144" s="1"/>
      <c r="G144" s="1"/>
      <c r="H144" s="1"/>
      <c r="I144" s="1"/>
      <c r="J144" s="1"/>
      <c r="K144" s="1"/>
      <c r="L144" s="1"/>
      <c r="M144" s="1"/>
      <c r="N144" s="1"/>
      <c r="O144" s="1"/>
      <c r="P144" s="1"/>
      <c r="Q144" s="1"/>
      <c r="R144" s="1"/>
    </row>
    <row r="145" spans="2:18">
      <c r="B145" s="1"/>
      <c r="C145" s="1"/>
      <c r="D145" s="1"/>
      <c r="E145" s="1"/>
      <c r="F145" s="1"/>
      <c r="G145" s="1"/>
      <c r="H145" s="1"/>
      <c r="I145" s="1"/>
      <c r="J145" s="1"/>
      <c r="K145" s="1"/>
      <c r="L145" s="1"/>
      <c r="M145" s="1"/>
      <c r="N145" s="1"/>
      <c r="O145" s="1"/>
      <c r="P145" s="1"/>
      <c r="Q145" s="1"/>
      <c r="R145" s="1"/>
    </row>
    <row r="146" spans="2:18">
      <c r="B146" s="1"/>
      <c r="C146" s="1"/>
      <c r="D146" s="1"/>
      <c r="E146" s="1"/>
      <c r="F146" s="1"/>
      <c r="G146" s="1"/>
      <c r="H146" s="1"/>
      <c r="I146" s="1"/>
      <c r="J146" s="1"/>
      <c r="K146" s="1"/>
      <c r="L146" s="1"/>
      <c r="M146" s="1"/>
      <c r="N146" s="1"/>
      <c r="O146" s="1"/>
      <c r="P146" s="1"/>
      <c r="Q146" s="1"/>
      <c r="R146" s="1"/>
    </row>
    <row r="147" spans="2:18">
      <c r="B147" s="1"/>
      <c r="C147" s="1"/>
      <c r="D147" s="1"/>
      <c r="E147" s="1"/>
      <c r="F147" s="1"/>
      <c r="G147" s="1"/>
      <c r="H147" s="1"/>
      <c r="I147" s="1"/>
      <c r="J147" s="1"/>
      <c r="K147" s="1"/>
      <c r="L147" s="1"/>
      <c r="M147" s="1"/>
      <c r="N147" s="1"/>
      <c r="O147" s="1"/>
      <c r="P147" s="1"/>
      <c r="Q147" s="1"/>
      <c r="R147" s="1"/>
    </row>
    <row r="148" spans="2:18">
      <c r="B148" s="1"/>
      <c r="C148" s="1"/>
      <c r="D148" s="1"/>
      <c r="E148" s="1"/>
      <c r="F148" s="1"/>
      <c r="G148" s="1"/>
      <c r="H148" s="1"/>
      <c r="I148" s="1"/>
      <c r="J148" s="1"/>
      <c r="K148" s="1"/>
      <c r="L148" s="1"/>
      <c r="M148" s="1"/>
      <c r="N148" s="1"/>
      <c r="O148" s="1"/>
      <c r="P148" s="1"/>
      <c r="Q148" s="1"/>
      <c r="R148" s="1"/>
    </row>
    <row r="149" spans="2:18">
      <c r="B149" s="1"/>
      <c r="C149" s="1"/>
      <c r="D149" s="1"/>
      <c r="E149" s="1"/>
      <c r="F149" s="1"/>
      <c r="G149" s="1"/>
      <c r="H149" s="1"/>
      <c r="I149" s="1"/>
      <c r="J149" s="1"/>
      <c r="K149" s="1"/>
      <c r="L149" s="1"/>
      <c r="M149" s="1"/>
      <c r="N149" s="1"/>
      <c r="O149" s="1"/>
      <c r="P149" s="1"/>
      <c r="Q149" s="1"/>
      <c r="R149" s="1"/>
    </row>
    <row r="150" spans="2:18">
      <c r="B150" s="1"/>
      <c r="C150" s="1"/>
      <c r="D150" s="1"/>
      <c r="E150" s="1"/>
      <c r="F150" s="1"/>
      <c r="G150" s="1"/>
      <c r="H150" s="1"/>
      <c r="I150" s="1"/>
      <c r="J150" s="1"/>
      <c r="K150" s="1"/>
      <c r="L150" s="1"/>
      <c r="M150" s="1"/>
      <c r="N150" s="1"/>
      <c r="O150" s="1"/>
      <c r="P150" s="1"/>
      <c r="Q150" s="1"/>
      <c r="R150" s="1"/>
    </row>
    <row r="151" spans="2:18">
      <c r="B151" s="1"/>
      <c r="C151" s="1"/>
      <c r="D151" s="1"/>
      <c r="E151" s="1"/>
      <c r="F151" s="1"/>
      <c r="G151" s="1"/>
      <c r="H151" s="1"/>
      <c r="I151" s="1"/>
      <c r="J151" s="1"/>
      <c r="K151" s="1"/>
      <c r="L151" s="1"/>
      <c r="M151" s="1"/>
      <c r="N151" s="1"/>
      <c r="O151" s="1"/>
      <c r="P151" s="1"/>
      <c r="Q151" s="1"/>
      <c r="R151" s="1"/>
    </row>
    <row r="152" spans="2:18">
      <c r="B152" s="1"/>
      <c r="C152" s="1"/>
      <c r="D152" s="1"/>
      <c r="E152" s="1"/>
      <c r="F152" s="1"/>
      <c r="G152" s="1"/>
      <c r="H152" s="1"/>
      <c r="I152" s="1"/>
      <c r="J152" s="1"/>
      <c r="K152" s="1"/>
      <c r="L152" s="1"/>
      <c r="M152" s="1"/>
      <c r="N152" s="1"/>
      <c r="O152" s="1"/>
      <c r="P152" s="1"/>
      <c r="Q152" s="1"/>
      <c r="R152" s="1"/>
    </row>
    <row r="153" spans="2:18">
      <c r="B153" s="1"/>
      <c r="C153" s="1"/>
      <c r="D153" s="1"/>
      <c r="E153" s="1"/>
      <c r="F153" s="1"/>
      <c r="G153" s="1"/>
      <c r="H153" s="1"/>
      <c r="I153" s="1"/>
      <c r="J153" s="1"/>
      <c r="K153" s="1"/>
      <c r="L153" s="1"/>
      <c r="M153" s="1"/>
      <c r="N153" s="1"/>
      <c r="O153" s="1"/>
      <c r="P153" s="1"/>
      <c r="Q153" s="1"/>
      <c r="R153" s="1"/>
    </row>
    <row r="154" spans="2:18">
      <c r="B154" s="1"/>
      <c r="C154" s="1"/>
      <c r="D154" s="1"/>
      <c r="E154" s="1"/>
      <c r="F154" s="1"/>
      <c r="G154" s="1"/>
      <c r="H154" s="1"/>
      <c r="I154" s="1"/>
      <c r="J154" s="1"/>
      <c r="K154" s="1"/>
      <c r="L154" s="1"/>
      <c r="M154" s="1"/>
      <c r="N154" s="1"/>
      <c r="O154" s="1"/>
      <c r="P154" s="1"/>
      <c r="Q154" s="1"/>
      <c r="R154" s="1"/>
    </row>
    <row r="155" spans="2:18">
      <c r="B155" s="1"/>
      <c r="C155" s="1"/>
      <c r="D155" s="1"/>
      <c r="E155" s="1"/>
      <c r="F155" s="1"/>
      <c r="G155" s="1"/>
      <c r="H155" s="1"/>
      <c r="I155" s="1"/>
      <c r="J155" s="1"/>
      <c r="K155" s="1"/>
      <c r="L155" s="1"/>
      <c r="M155" s="1"/>
      <c r="N155" s="1"/>
      <c r="O155" s="1"/>
      <c r="P155" s="1"/>
      <c r="Q155" s="1"/>
      <c r="R155" s="1"/>
    </row>
    <row r="156" spans="2:18">
      <c r="B156" s="1"/>
      <c r="C156" s="1"/>
      <c r="D156" s="1"/>
      <c r="E156" s="1"/>
      <c r="F156" s="1"/>
      <c r="G156" s="1"/>
      <c r="H156" s="1"/>
      <c r="I156" s="1"/>
      <c r="J156" s="1"/>
      <c r="K156" s="1"/>
      <c r="L156" s="1"/>
      <c r="M156" s="1"/>
      <c r="N156" s="1"/>
      <c r="O156" s="1"/>
      <c r="P156" s="1"/>
      <c r="Q156" s="1"/>
      <c r="R156" s="1"/>
    </row>
    <row r="157" spans="2:18">
      <c r="B157" s="1"/>
      <c r="C157" s="1"/>
      <c r="D157" s="1"/>
      <c r="E157" s="1"/>
      <c r="F157" s="1"/>
      <c r="G157" s="1"/>
      <c r="H157" s="1"/>
      <c r="I157" s="1"/>
      <c r="J157" s="1"/>
      <c r="K157" s="1"/>
      <c r="L157" s="1"/>
      <c r="M157" s="1"/>
      <c r="N157" s="1"/>
      <c r="O157" s="1"/>
      <c r="P157" s="1"/>
      <c r="Q157" s="1"/>
      <c r="R157" s="1"/>
    </row>
    <row r="158" spans="2:18">
      <c r="B158" s="1"/>
      <c r="C158" s="1"/>
      <c r="D158" s="1"/>
      <c r="E158" s="1"/>
      <c r="F158" s="1"/>
      <c r="G158" s="1"/>
      <c r="H158" s="1"/>
      <c r="I158" s="1"/>
      <c r="J158" s="1"/>
      <c r="K158" s="1"/>
      <c r="L158" s="1"/>
      <c r="M158" s="1"/>
      <c r="N158" s="1"/>
      <c r="O158" s="1"/>
      <c r="P158" s="1"/>
      <c r="Q158" s="1"/>
      <c r="R158" s="1"/>
    </row>
    <row r="159" spans="2:18">
      <c r="B159" s="1"/>
      <c r="C159" s="1"/>
      <c r="D159" s="1"/>
      <c r="E159" s="1"/>
      <c r="F159" s="1"/>
      <c r="G159" s="1"/>
      <c r="H159" s="1"/>
      <c r="I159" s="1"/>
      <c r="J159" s="1"/>
      <c r="K159" s="1"/>
      <c r="L159" s="1"/>
      <c r="M159" s="1"/>
      <c r="N159" s="1"/>
      <c r="O159" s="1"/>
      <c r="P159" s="1"/>
      <c r="Q159" s="1"/>
      <c r="R159" s="1"/>
    </row>
    <row r="160" spans="2:18">
      <c r="B160" s="1"/>
      <c r="C160" s="1"/>
      <c r="D160" s="1"/>
      <c r="E160" s="1"/>
      <c r="F160" s="1"/>
      <c r="G160" s="1"/>
      <c r="H160" s="1"/>
      <c r="I160" s="1"/>
      <c r="J160" s="1"/>
      <c r="K160" s="1"/>
      <c r="L160" s="1"/>
      <c r="M160" s="1"/>
      <c r="N160" s="1"/>
      <c r="O160" s="1"/>
      <c r="P160" s="1"/>
      <c r="Q160" s="1"/>
      <c r="R160" s="1"/>
    </row>
    <row r="161" spans="2:18">
      <c r="B161" s="1"/>
      <c r="C161" s="1"/>
      <c r="D161" s="1"/>
      <c r="E161" s="1"/>
      <c r="F161" s="1"/>
      <c r="G161" s="1"/>
      <c r="H161" s="1"/>
      <c r="I161" s="1"/>
      <c r="J161" s="1"/>
      <c r="K161" s="1"/>
      <c r="L161" s="1"/>
      <c r="M161" s="1"/>
      <c r="N161" s="1"/>
      <c r="O161" s="1"/>
      <c r="P161" s="1"/>
      <c r="Q161" s="1"/>
      <c r="R161" s="1"/>
    </row>
    <row r="162" spans="2:18">
      <c r="B162" s="1"/>
      <c r="C162" s="1"/>
      <c r="D162" s="1"/>
      <c r="E162" s="1"/>
      <c r="F162" s="1"/>
      <c r="G162" s="1"/>
      <c r="H162" s="1"/>
      <c r="I162" s="1"/>
      <c r="J162" s="1"/>
      <c r="K162" s="1"/>
      <c r="L162" s="1"/>
      <c r="M162" s="1"/>
      <c r="N162" s="1"/>
      <c r="O162" s="1"/>
      <c r="P162" s="1"/>
      <c r="Q162" s="1"/>
      <c r="R162" s="1"/>
    </row>
    <row r="163" spans="2:18">
      <c r="B163" s="1"/>
      <c r="C163" s="1"/>
      <c r="D163" s="1"/>
      <c r="E163" s="1"/>
      <c r="F163" s="1"/>
      <c r="G163" s="1"/>
      <c r="H163" s="1"/>
      <c r="I163" s="1"/>
      <c r="J163" s="1"/>
      <c r="K163" s="1"/>
      <c r="L163" s="1"/>
      <c r="M163" s="1"/>
      <c r="N163" s="1"/>
      <c r="O163" s="1"/>
      <c r="P163" s="1"/>
      <c r="Q163" s="1"/>
      <c r="R163" s="1"/>
    </row>
    <row r="164" spans="2:18">
      <c r="B164" s="1"/>
      <c r="C164" s="1"/>
      <c r="D164" s="1"/>
      <c r="E164" s="1"/>
      <c r="F164" s="1"/>
      <c r="G164" s="1"/>
      <c r="H164" s="1"/>
      <c r="I164" s="1"/>
      <c r="J164" s="1"/>
      <c r="K164" s="1"/>
      <c r="L164" s="1"/>
      <c r="M164" s="1"/>
      <c r="N164" s="1"/>
      <c r="O164" s="1"/>
      <c r="P164" s="1"/>
      <c r="Q164" s="1"/>
      <c r="R164" s="1"/>
    </row>
    <row r="165" spans="2:18">
      <c r="B165" s="1"/>
      <c r="C165" s="1"/>
      <c r="D165" s="1"/>
      <c r="E165" s="1"/>
      <c r="F165" s="1"/>
      <c r="G165" s="1"/>
      <c r="H165" s="1"/>
      <c r="I165" s="1"/>
      <c r="J165" s="1"/>
      <c r="K165" s="1"/>
      <c r="L165" s="1"/>
      <c r="M165" s="1"/>
      <c r="N165" s="1"/>
      <c r="O165" s="1"/>
      <c r="P165" s="1"/>
      <c r="Q165" s="1"/>
      <c r="R165" s="1"/>
    </row>
    <row r="166" spans="2:18">
      <c r="B166" s="1"/>
      <c r="C166" s="1"/>
      <c r="D166" s="1"/>
      <c r="E166" s="1"/>
      <c r="F166" s="1"/>
      <c r="G166" s="1"/>
      <c r="H166" s="1"/>
      <c r="I166" s="1"/>
      <c r="J166" s="1"/>
      <c r="K166" s="1"/>
      <c r="L166" s="1"/>
      <c r="M166" s="1"/>
      <c r="N166" s="1"/>
      <c r="O166" s="1"/>
      <c r="P166" s="1"/>
      <c r="Q166" s="1"/>
      <c r="R166" s="1"/>
    </row>
    <row r="167" spans="2:18">
      <c r="B167" s="1"/>
      <c r="C167" s="1"/>
      <c r="D167" s="1"/>
      <c r="E167" s="1"/>
      <c r="F167" s="1"/>
      <c r="G167" s="1"/>
      <c r="H167" s="1"/>
      <c r="I167" s="1"/>
      <c r="J167" s="1"/>
      <c r="K167" s="1"/>
      <c r="L167" s="1"/>
      <c r="M167" s="1"/>
      <c r="N167" s="1"/>
      <c r="O167" s="1"/>
      <c r="P167" s="1"/>
      <c r="Q167" s="1"/>
      <c r="R167" s="1"/>
    </row>
    <row r="168" spans="2:18">
      <c r="B168" s="1"/>
      <c r="C168" s="1"/>
      <c r="D168" s="1"/>
      <c r="E168" s="1"/>
      <c r="F168" s="1"/>
      <c r="G168" s="1"/>
      <c r="H168" s="1"/>
      <c r="I168" s="1"/>
      <c r="J168" s="1"/>
      <c r="K168" s="1"/>
      <c r="L168" s="1"/>
      <c r="M168" s="1"/>
      <c r="N168" s="1"/>
      <c r="O168" s="1"/>
      <c r="P168" s="1"/>
      <c r="Q168" s="1"/>
      <c r="R168" s="1"/>
    </row>
    <row r="169" spans="2:18">
      <c r="B169" s="1"/>
      <c r="C169" s="1"/>
      <c r="D169" s="1"/>
      <c r="E169" s="1"/>
      <c r="F169" s="1"/>
      <c r="G169" s="1"/>
      <c r="H169" s="1"/>
      <c r="I169" s="1"/>
      <c r="J169" s="1"/>
      <c r="K169" s="1"/>
      <c r="L169" s="1"/>
      <c r="M169" s="1"/>
      <c r="N169" s="1"/>
      <c r="O169" s="1"/>
      <c r="P169" s="1"/>
      <c r="Q169" s="1"/>
      <c r="R169" s="1"/>
    </row>
    <row r="170" spans="2:18">
      <c r="B170" s="1"/>
      <c r="C170" s="1"/>
      <c r="D170" s="1"/>
      <c r="E170" s="1"/>
      <c r="F170" s="1"/>
      <c r="G170" s="1"/>
      <c r="H170" s="1"/>
      <c r="I170" s="1"/>
      <c r="J170" s="1"/>
      <c r="K170" s="1"/>
      <c r="L170" s="1"/>
      <c r="M170" s="1"/>
      <c r="N170" s="1"/>
      <c r="O170" s="1"/>
      <c r="P170" s="1"/>
      <c r="Q170" s="1"/>
      <c r="R170" s="1"/>
    </row>
    <row r="171" spans="2:18">
      <c r="B171" s="1"/>
      <c r="C171" s="1"/>
      <c r="D171" s="1"/>
      <c r="E171" s="1"/>
      <c r="F171" s="1"/>
      <c r="G171" s="1"/>
      <c r="H171" s="1"/>
      <c r="I171" s="1"/>
      <c r="J171" s="1"/>
      <c r="K171" s="1"/>
      <c r="L171" s="1"/>
      <c r="M171" s="1"/>
      <c r="N171" s="1"/>
      <c r="O171" s="1"/>
      <c r="P171" s="1"/>
      <c r="Q171" s="1"/>
      <c r="R171" s="1"/>
    </row>
    <row r="172" spans="2:18">
      <c r="B172" s="1"/>
      <c r="C172" s="1"/>
      <c r="D172" s="1"/>
      <c r="E172" s="1"/>
      <c r="F172" s="1"/>
      <c r="G172" s="1"/>
      <c r="H172" s="1"/>
      <c r="I172" s="1"/>
      <c r="J172" s="1"/>
      <c r="K172" s="1"/>
      <c r="L172" s="1"/>
      <c r="M172" s="1"/>
      <c r="N172" s="1"/>
      <c r="O172" s="1"/>
      <c r="P172" s="1"/>
      <c r="Q172" s="1"/>
      <c r="R172" s="1"/>
    </row>
    <row r="173" spans="2:18">
      <c r="B173" s="1"/>
      <c r="C173" s="1"/>
      <c r="D173" s="1"/>
      <c r="E173" s="1"/>
      <c r="F173" s="1"/>
      <c r="G173" s="1"/>
      <c r="H173" s="1"/>
      <c r="I173" s="1"/>
      <c r="J173" s="1"/>
      <c r="K173" s="1"/>
      <c r="L173" s="1"/>
      <c r="M173" s="1"/>
      <c r="N173" s="1"/>
      <c r="O173" s="1"/>
      <c r="P173" s="1"/>
      <c r="Q173" s="1"/>
      <c r="R173" s="1"/>
    </row>
    <row r="174" spans="2:18">
      <c r="B174" s="1"/>
      <c r="C174" s="1"/>
      <c r="D174" s="1"/>
      <c r="E174" s="1"/>
      <c r="F174" s="1"/>
      <c r="G174" s="1"/>
      <c r="H174" s="1"/>
      <c r="I174" s="1"/>
      <c r="J174" s="1"/>
      <c r="K174" s="1"/>
      <c r="L174" s="1"/>
      <c r="M174" s="1"/>
      <c r="N174" s="1"/>
      <c r="O174" s="1"/>
      <c r="P174" s="1"/>
      <c r="Q174" s="1"/>
      <c r="R174" s="1"/>
    </row>
    <row r="175" spans="2:18">
      <c r="B175" s="1"/>
      <c r="C175" s="1"/>
      <c r="D175" s="1"/>
      <c r="E175" s="1"/>
      <c r="F175" s="1"/>
      <c r="G175" s="1"/>
      <c r="H175" s="1"/>
      <c r="I175" s="1"/>
      <c r="J175" s="1"/>
      <c r="K175" s="1"/>
      <c r="L175" s="1"/>
      <c r="M175" s="1"/>
      <c r="N175" s="1"/>
      <c r="O175" s="1"/>
      <c r="P175" s="1"/>
      <c r="Q175" s="1"/>
      <c r="R175" s="1"/>
    </row>
    <row r="176" spans="2:18">
      <c r="B176" s="1"/>
      <c r="C176" s="1"/>
      <c r="D176" s="1"/>
      <c r="E176" s="1"/>
      <c r="F176" s="1"/>
      <c r="G176" s="1"/>
      <c r="H176" s="1"/>
      <c r="I176" s="1"/>
      <c r="J176" s="1"/>
      <c r="K176" s="1"/>
      <c r="L176" s="1"/>
      <c r="M176" s="1"/>
      <c r="N176" s="1"/>
      <c r="O176" s="1"/>
      <c r="P176" s="1"/>
      <c r="Q176" s="1"/>
      <c r="R176" s="1"/>
    </row>
    <row r="177" spans="2:18">
      <c r="B177" s="1"/>
      <c r="C177" s="1"/>
      <c r="D177" s="1"/>
      <c r="E177" s="1"/>
      <c r="F177" s="1"/>
      <c r="G177" s="1"/>
      <c r="H177" s="1"/>
      <c r="I177" s="1"/>
      <c r="J177" s="1"/>
      <c r="K177" s="1"/>
      <c r="L177" s="1"/>
      <c r="M177" s="1"/>
      <c r="N177" s="1"/>
      <c r="O177" s="1"/>
      <c r="P177" s="1"/>
      <c r="Q177" s="1"/>
      <c r="R177" s="1"/>
    </row>
    <row r="178" spans="2:18">
      <c r="B178" s="1"/>
      <c r="C178" s="1"/>
      <c r="D178" s="1"/>
      <c r="E178" s="1"/>
      <c r="F178" s="1"/>
      <c r="G178" s="1"/>
      <c r="H178" s="1"/>
      <c r="I178" s="1"/>
      <c r="J178" s="1"/>
      <c r="K178" s="1"/>
      <c r="L178" s="1"/>
      <c r="M178" s="1"/>
      <c r="N178" s="1"/>
      <c r="O178" s="1"/>
      <c r="P178" s="1"/>
      <c r="Q178" s="1"/>
      <c r="R178" s="1"/>
    </row>
    <row r="179" spans="2:18">
      <c r="B179" s="1"/>
      <c r="C179" s="1"/>
      <c r="D179" s="1"/>
      <c r="E179" s="1"/>
      <c r="F179" s="1"/>
      <c r="G179" s="1"/>
      <c r="H179" s="1"/>
      <c r="I179" s="1"/>
      <c r="J179" s="1"/>
      <c r="K179" s="1"/>
      <c r="L179" s="1"/>
      <c r="M179" s="1"/>
      <c r="N179" s="1"/>
      <c r="O179" s="1"/>
      <c r="P179" s="1"/>
      <c r="Q179" s="1"/>
      <c r="R179" s="1"/>
    </row>
    <row r="180" spans="2:18">
      <c r="B180" s="1"/>
      <c r="C180" s="1"/>
      <c r="D180" s="1"/>
      <c r="E180" s="1"/>
      <c r="F180" s="1"/>
      <c r="G180" s="1"/>
      <c r="H180" s="1"/>
      <c r="I180" s="1"/>
      <c r="J180" s="1"/>
      <c r="K180" s="1"/>
      <c r="L180" s="1"/>
      <c r="M180" s="1"/>
      <c r="N180" s="1"/>
      <c r="O180" s="1"/>
      <c r="P180" s="1"/>
      <c r="Q180" s="1"/>
      <c r="R180" s="1"/>
    </row>
    <row r="181" spans="2:18">
      <c r="B181" s="1"/>
      <c r="C181" s="1"/>
      <c r="D181" s="1"/>
      <c r="E181" s="1"/>
      <c r="F181" s="1"/>
      <c r="G181" s="1"/>
      <c r="H181" s="1"/>
      <c r="I181" s="1"/>
      <c r="J181" s="1"/>
      <c r="K181" s="1"/>
      <c r="L181" s="1"/>
      <c r="M181" s="1"/>
      <c r="N181" s="1"/>
      <c r="O181" s="1"/>
      <c r="P181" s="1"/>
      <c r="Q181" s="1"/>
      <c r="R181" s="1"/>
    </row>
    <row r="182" spans="2:18">
      <c r="B182" s="1"/>
      <c r="C182" s="1"/>
      <c r="D182" s="1"/>
      <c r="E182" s="1"/>
      <c r="F182" s="1"/>
      <c r="G182" s="1"/>
      <c r="H182" s="1"/>
      <c r="I182" s="1"/>
      <c r="J182" s="1"/>
      <c r="K182" s="1"/>
      <c r="L182" s="1"/>
      <c r="M182" s="1"/>
      <c r="N182" s="1"/>
      <c r="O182" s="1"/>
      <c r="P182" s="1"/>
      <c r="Q182" s="1"/>
      <c r="R182" s="1"/>
    </row>
    <row r="183" spans="2:18">
      <c r="B183" s="1"/>
      <c r="C183" s="1"/>
      <c r="D183" s="1"/>
      <c r="E183" s="1"/>
      <c r="F183" s="1"/>
      <c r="G183" s="1"/>
      <c r="H183" s="1"/>
      <c r="I183" s="1"/>
      <c r="J183" s="1"/>
      <c r="K183" s="1"/>
      <c r="L183" s="1"/>
      <c r="M183" s="1"/>
      <c r="N183" s="1"/>
      <c r="O183" s="1"/>
      <c r="P183" s="1"/>
      <c r="Q183" s="1"/>
      <c r="R183" s="1"/>
    </row>
    <row r="184" spans="2:18">
      <c r="B184" s="1"/>
      <c r="C184" s="1"/>
      <c r="D184" s="1"/>
      <c r="E184" s="1"/>
      <c r="F184" s="1"/>
      <c r="G184" s="1"/>
      <c r="H184" s="1"/>
      <c r="I184" s="1"/>
      <c r="J184" s="1"/>
      <c r="K184" s="1"/>
      <c r="L184" s="1"/>
      <c r="M184" s="1"/>
      <c r="N184" s="1"/>
      <c r="O184" s="1"/>
      <c r="P184" s="1"/>
      <c r="Q184" s="1"/>
      <c r="R184" s="1"/>
    </row>
    <row r="185" spans="2:18">
      <c r="B185" s="1"/>
      <c r="C185" s="1"/>
      <c r="D185" s="1"/>
      <c r="E185" s="1"/>
      <c r="F185" s="1"/>
      <c r="G185" s="1"/>
      <c r="H185" s="1"/>
      <c r="I185" s="1"/>
      <c r="J185" s="1"/>
      <c r="K185" s="1"/>
      <c r="L185" s="1"/>
      <c r="M185" s="1"/>
      <c r="N185" s="1"/>
      <c r="O185" s="1"/>
      <c r="P185" s="1"/>
      <c r="Q185" s="1"/>
      <c r="R185" s="1"/>
    </row>
    <row r="186" spans="2:18">
      <c r="B186" s="1"/>
      <c r="C186" s="1"/>
      <c r="D186" s="1"/>
      <c r="E186" s="1"/>
      <c r="F186" s="1"/>
      <c r="G186" s="1"/>
      <c r="H186" s="1"/>
      <c r="I186" s="1"/>
      <c r="J186" s="1"/>
      <c r="K186" s="1"/>
      <c r="L186" s="1"/>
      <c r="M186" s="1"/>
      <c r="N186" s="1"/>
      <c r="O186" s="1"/>
      <c r="P186" s="1"/>
      <c r="Q186" s="1"/>
      <c r="R186" s="1"/>
    </row>
    <row r="187" spans="2:18">
      <c r="B187" s="1"/>
      <c r="C187" s="1"/>
      <c r="D187" s="1"/>
      <c r="E187" s="1"/>
      <c r="F187" s="1"/>
      <c r="G187" s="1"/>
      <c r="H187" s="1"/>
      <c r="I187" s="1"/>
      <c r="J187" s="1"/>
      <c r="K187" s="1"/>
      <c r="L187" s="1"/>
      <c r="M187" s="1"/>
      <c r="N187" s="1"/>
      <c r="O187" s="1"/>
      <c r="P187" s="1"/>
      <c r="Q187" s="1"/>
      <c r="R187" s="1"/>
    </row>
    <row r="188" spans="2:18">
      <c r="B188" s="1"/>
      <c r="C188" s="1"/>
      <c r="D188" s="1"/>
      <c r="E188" s="1"/>
      <c r="F188" s="1"/>
      <c r="G188" s="1"/>
      <c r="H188" s="1"/>
      <c r="I188" s="1"/>
      <c r="J188" s="1"/>
      <c r="K188" s="1"/>
      <c r="L188" s="1"/>
      <c r="M188" s="1"/>
      <c r="N188" s="1"/>
      <c r="O188" s="1"/>
      <c r="P188" s="1"/>
      <c r="Q188" s="1"/>
      <c r="R188" s="1"/>
    </row>
    <row r="189" spans="2:18">
      <c r="B189" s="1"/>
      <c r="C189" s="1"/>
      <c r="D189" s="1"/>
      <c r="E189" s="1"/>
      <c r="F189" s="1"/>
      <c r="G189" s="1"/>
      <c r="H189" s="1"/>
      <c r="I189" s="1"/>
      <c r="J189" s="1"/>
      <c r="K189" s="1"/>
      <c r="L189" s="1"/>
      <c r="M189" s="1"/>
      <c r="N189" s="1"/>
      <c r="O189" s="1"/>
      <c r="P189" s="1"/>
      <c r="Q189" s="1"/>
      <c r="R189" s="1"/>
    </row>
    <row r="190" spans="2:18">
      <c r="B190" s="1"/>
      <c r="C190" s="1"/>
      <c r="D190" s="1"/>
      <c r="E190" s="1"/>
      <c r="F190" s="1"/>
      <c r="G190" s="1"/>
      <c r="H190" s="1"/>
      <c r="I190" s="1"/>
      <c r="J190" s="1"/>
      <c r="K190" s="1"/>
      <c r="L190" s="1"/>
      <c r="M190" s="1"/>
      <c r="N190" s="1"/>
      <c r="O190" s="1"/>
      <c r="P190" s="1"/>
      <c r="Q190" s="1"/>
      <c r="R190" s="1"/>
    </row>
    <row r="191" spans="2:18">
      <c r="B191" s="1"/>
      <c r="C191" s="1"/>
      <c r="D191" s="1"/>
      <c r="E191" s="1"/>
      <c r="F191" s="1"/>
      <c r="G191" s="1"/>
      <c r="H191" s="1"/>
      <c r="I191" s="1"/>
      <c r="J191" s="1"/>
      <c r="K191" s="1"/>
      <c r="L191" s="1"/>
      <c r="M191" s="1"/>
      <c r="N191" s="1"/>
      <c r="O191" s="1"/>
      <c r="P191" s="1"/>
      <c r="Q191" s="1"/>
      <c r="R191" s="1"/>
    </row>
    <row r="192" spans="2:18">
      <c r="B192" s="1"/>
      <c r="C192" s="1"/>
      <c r="D192" s="1"/>
      <c r="E192" s="1"/>
      <c r="F192" s="1"/>
      <c r="G192" s="1"/>
      <c r="H192" s="1"/>
      <c r="I192" s="1"/>
      <c r="J192" s="1"/>
      <c r="K192" s="1"/>
      <c r="L192" s="1"/>
      <c r="M192" s="1"/>
      <c r="N192" s="1"/>
      <c r="O192" s="1"/>
      <c r="P192" s="1"/>
      <c r="Q192" s="1"/>
      <c r="R192" s="1"/>
    </row>
    <row r="193" spans="2:18">
      <c r="B193" s="1"/>
      <c r="C193" s="1"/>
      <c r="D193" s="1"/>
      <c r="E193" s="1"/>
      <c r="F193" s="1"/>
      <c r="G193" s="1"/>
      <c r="H193" s="1"/>
      <c r="I193" s="1"/>
      <c r="J193" s="1"/>
      <c r="K193" s="1"/>
      <c r="L193" s="1"/>
      <c r="M193" s="1"/>
      <c r="N193" s="1"/>
      <c r="O193" s="1"/>
      <c r="P193" s="1"/>
      <c r="Q193" s="1"/>
      <c r="R193" s="1"/>
    </row>
    <row r="194" spans="2:18">
      <c r="B194" s="1"/>
      <c r="C194" s="1"/>
      <c r="D194" s="1"/>
      <c r="E194" s="1"/>
      <c r="F194" s="1"/>
      <c r="G194" s="1"/>
      <c r="H194" s="1"/>
      <c r="I194" s="1"/>
      <c r="J194" s="1"/>
      <c r="K194" s="1"/>
      <c r="L194" s="1"/>
      <c r="M194" s="1"/>
      <c r="N194" s="1"/>
      <c r="O194" s="1"/>
      <c r="P194" s="1"/>
      <c r="Q194" s="1"/>
      <c r="R194" s="1"/>
    </row>
    <row r="195" spans="2:18">
      <c r="B195" s="1"/>
      <c r="C195" s="1"/>
      <c r="D195" s="1"/>
      <c r="E195" s="1"/>
      <c r="F195" s="1"/>
      <c r="G195" s="1"/>
      <c r="H195" s="1"/>
      <c r="I195" s="1"/>
      <c r="J195" s="1"/>
      <c r="K195" s="1"/>
      <c r="L195" s="1"/>
      <c r="M195" s="1"/>
      <c r="N195" s="1"/>
      <c r="O195" s="1"/>
      <c r="P195" s="1"/>
      <c r="Q195" s="1"/>
      <c r="R195" s="1"/>
    </row>
    <row r="196" spans="2:18">
      <c r="B196" s="1"/>
      <c r="C196" s="1"/>
      <c r="D196" s="1"/>
      <c r="E196" s="1"/>
      <c r="F196" s="1"/>
      <c r="G196" s="1"/>
      <c r="H196" s="1"/>
      <c r="I196" s="1"/>
      <c r="J196" s="1"/>
      <c r="K196" s="1"/>
      <c r="L196" s="1"/>
      <c r="M196" s="1"/>
      <c r="N196" s="1"/>
      <c r="O196" s="1"/>
      <c r="P196" s="1"/>
      <c r="Q196" s="1"/>
      <c r="R196" s="1"/>
    </row>
    <row r="197" spans="2:18">
      <c r="B197" s="1"/>
      <c r="C197" s="1"/>
      <c r="D197" s="1"/>
      <c r="E197" s="1"/>
      <c r="F197" s="1"/>
      <c r="G197" s="1"/>
      <c r="H197" s="1"/>
      <c r="I197" s="1"/>
      <c r="J197" s="1"/>
      <c r="K197" s="1"/>
      <c r="L197" s="1"/>
      <c r="M197" s="1"/>
      <c r="N197" s="1"/>
      <c r="O197" s="1"/>
      <c r="P197" s="1"/>
      <c r="Q197" s="1"/>
      <c r="R197" s="1"/>
    </row>
    <row r="198" spans="2:18">
      <c r="B198" s="1"/>
      <c r="C198" s="1"/>
      <c r="D198" s="1"/>
      <c r="E198" s="1"/>
      <c r="F198" s="1"/>
      <c r="G198" s="1"/>
      <c r="H198" s="1"/>
      <c r="I198" s="1"/>
      <c r="J198" s="1"/>
      <c r="K198" s="1"/>
      <c r="L198" s="1"/>
      <c r="M198" s="1"/>
      <c r="N198" s="1"/>
      <c r="O198" s="1"/>
      <c r="P198" s="1"/>
      <c r="Q198" s="1"/>
      <c r="R198" s="1"/>
    </row>
    <row r="199" spans="2:18">
      <c r="B199" s="1"/>
      <c r="C199" s="1"/>
      <c r="D199" s="1"/>
      <c r="E199" s="1"/>
      <c r="F199" s="1"/>
      <c r="G199" s="1"/>
      <c r="H199" s="1"/>
      <c r="I199" s="1"/>
      <c r="J199" s="1"/>
      <c r="K199" s="1"/>
      <c r="L199" s="1"/>
      <c r="M199" s="1"/>
      <c r="N199" s="1"/>
      <c r="O199" s="1"/>
      <c r="P199" s="1"/>
      <c r="Q199" s="1"/>
      <c r="R199" s="1"/>
    </row>
    <row r="200" spans="2:18">
      <c r="B200" s="1"/>
      <c r="C200" s="1"/>
      <c r="D200" s="1"/>
      <c r="E200" s="1"/>
      <c r="F200" s="1"/>
      <c r="G200" s="1"/>
      <c r="H200" s="1"/>
      <c r="I200" s="1"/>
      <c r="J200" s="1"/>
      <c r="K200" s="1"/>
      <c r="L200" s="1"/>
      <c r="M200" s="1"/>
      <c r="N200" s="1"/>
      <c r="O200" s="1"/>
      <c r="P200" s="1"/>
      <c r="Q200" s="1"/>
      <c r="R200" s="1"/>
    </row>
    <row r="201" spans="2:18">
      <c r="B201" s="1"/>
      <c r="C201" s="1"/>
      <c r="D201" s="1"/>
      <c r="E201" s="1"/>
      <c r="F201" s="1"/>
      <c r="G201" s="1"/>
      <c r="H201" s="1"/>
      <c r="I201" s="1"/>
      <c r="J201" s="1"/>
      <c r="K201" s="1"/>
      <c r="L201" s="1"/>
      <c r="M201" s="1"/>
      <c r="N201" s="1"/>
      <c r="O201" s="1"/>
      <c r="P201" s="1"/>
      <c r="Q201" s="1"/>
      <c r="R201" s="1"/>
    </row>
    <row r="202" spans="2:18">
      <c r="B202" s="1"/>
      <c r="C202" s="1"/>
      <c r="D202" s="1"/>
      <c r="E202" s="1"/>
      <c r="F202" s="1"/>
      <c r="G202" s="1"/>
      <c r="H202" s="1"/>
      <c r="I202" s="1"/>
      <c r="J202" s="1"/>
      <c r="K202" s="1"/>
      <c r="L202" s="1"/>
      <c r="M202" s="1"/>
      <c r="N202" s="1"/>
      <c r="O202" s="1"/>
      <c r="P202" s="1"/>
      <c r="Q202" s="1"/>
      <c r="R202" s="1"/>
    </row>
    <row r="203" spans="2:18">
      <c r="B203" s="1"/>
      <c r="C203" s="1"/>
      <c r="D203" s="1"/>
      <c r="E203" s="1"/>
      <c r="F203" s="1"/>
      <c r="G203" s="1"/>
      <c r="H203" s="1"/>
      <c r="I203" s="1"/>
      <c r="J203" s="1"/>
      <c r="K203" s="1"/>
      <c r="L203" s="1"/>
      <c r="M203" s="1"/>
      <c r="N203" s="1"/>
      <c r="O203" s="1"/>
      <c r="P203" s="1"/>
      <c r="Q203" s="1"/>
      <c r="R203" s="1"/>
    </row>
    <row r="204" spans="2:18">
      <c r="B204" s="1"/>
      <c r="C204" s="1"/>
      <c r="D204" s="1"/>
      <c r="E204" s="1"/>
      <c r="F204" s="1"/>
      <c r="G204" s="1"/>
      <c r="H204" s="1"/>
      <c r="I204" s="1"/>
      <c r="J204" s="1"/>
      <c r="K204" s="1"/>
      <c r="L204" s="1"/>
      <c r="M204" s="1"/>
      <c r="N204" s="1"/>
      <c r="O204" s="1"/>
      <c r="P204" s="1"/>
      <c r="Q204" s="1"/>
      <c r="R204" s="1"/>
    </row>
    <row r="205" spans="2:18">
      <c r="B205" s="1"/>
      <c r="C205" s="1"/>
      <c r="D205" s="1"/>
      <c r="E205" s="1"/>
      <c r="F205" s="1"/>
      <c r="G205" s="1"/>
      <c r="H205" s="1"/>
      <c r="I205" s="1"/>
      <c r="J205" s="1"/>
      <c r="K205" s="1"/>
      <c r="L205" s="1"/>
      <c r="M205" s="1"/>
      <c r="N205" s="1"/>
      <c r="O205" s="1"/>
      <c r="P205" s="1"/>
      <c r="Q205" s="1"/>
      <c r="R205" s="1"/>
    </row>
    <row r="206" spans="2:18">
      <c r="B206" s="1"/>
      <c r="C206" s="1"/>
      <c r="D206" s="1"/>
      <c r="E206" s="1"/>
      <c r="F206" s="1"/>
      <c r="G206" s="1"/>
      <c r="H206" s="1"/>
      <c r="I206" s="1"/>
      <c r="J206" s="1"/>
      <c r="K206" s="1"/>
      <c r="L206" s="1"/>
      <c r="M206" s="1"/>
      <c r="N206" s="1"/>
      <c r="O206" s="1"/>
      <c r="P206" s="1"/>
      <c r="Q206" s="1"/>
      <c r="R206" s="1"/>
    </row>
    <row r="207" spans="2:18">
      <c r="B207" s="1"/>
      <c r="C207" s="1"/>
      <c r="D207" s="1"/>
      <c r="E207" s="1"/>
      <c r="F207" s="1"/>
      <c r="G207" s="1"/>
      <c r="H207" s="1"/>
      <c r="I207" s="1"/>
      <c r="J207" s="1"/>
      <c r="K207" s="1"/>
      <c r="L207" s="1"/>
      <c r="M207" s="1"/>
      <c r="N207" s="1"/>
      <c r="O207" s="1"/>
      <c r="P207" s="1"/>
      <c r="Q207" s="1"/>
      <c r="R207" s="1"/>
    </row>
    <row r="208" spans="2:18">
      <c r="B208" s="1"/>
      <c r="C208" s="1"/>
      <c r="D208" s="1"/>
      <c r="E208" s="1"/>
      <c r="F208" s="1"/>
      <c r="G208" s="1"/>
      <c r="H208" s="1"/>
      <c r="I208" s="1"/>
      <c r="J208" s="1"/>
      <c r="K208" s="1"/>
      <c r="L208" s="1"/>
      <c r="M208" s="1"/>
      <c r="N208" s="1"/>
      <c r="O208" s="1"/>
      <c r="P208" s="1"/>
      <c r="Q208" s="1"/>
      <c r="R208" s="1"/>
    </row>
    <row r="209" spans="2:18">
      <c r="B209" s="1"/>
      <c r="C209" s="1"/>
      <c r="D209" s="1"/>
      <c r="E209" s="1"/>
      <c r="F209" s="1"/>
      <c r="G209" s="1"/>
      <c r="H209" s="1"/>
      <c r="I209" s="1"/>
      <c r="J209" s="1"/>
      <c r="K209" s="1"/>
      <c r="L209" s="1"/>
      <c r="M209" s="1"/>
      <c r="N209" s="1"/>
      <c r="O209" s="1"/>
      <c r="P209" s="1"/>
      <c r="Q209" s="1"/>
      <c r="R209" s="1"/>
    </row>
    <row r="210" spans="2:18">
      <c r="B210" s="1"/>
      <c r="C210" s="1"/>
      <c r="D210" s="1"/>
      <c r="E210" s="1"/>
      <c r="F210" s="1"/>
      <c r="G210" s="1"/>
      <c r="H210" s="1"/>
      <c r="I210" s="1"/>
      <c r="J210" s="1"/>
      <c r="K210" s="1"/>
      <c r="L210" s="1"/>
      <c r="M210" s="1"/>
      <c r="N210" s="1"/>
      <c r="O210" s="1"/>
      <c r="P210" s="1"/>
      <c r="Q210" s="1"/>
      <c r="R210" s="1"/>
    </row>
    <row r="211" spans="2:18">
      <c r="B211" s="1"/>
      <c r="C211" s="1"/>
      <c r="D211" s="1"/>
      <c r="E211" s="1"/>
      <c r="F211" s="1"/>
      <c r="G211" s="1"/>
      <c r="H211" s="1"/>
      <c r="I211" s="1"/>
      <c r="J211" s="1"/>
      <c r="K211" s="1"/>
      <c r="L211" s="1"/>
      <c r="M211" s="1"/>
      <c r="N211" s="1"/>
      <c r="O211" s="1"/>
      <c r="P211" s="1"/>
      <c r="Q211" s="1"/>
      <c r="R211" s="1"/>
    </row>
    <row r="212" spans="2:18">
      <c r="B212" s="1"/>
      <c r="C212" s="1"/>
      <c r="D212" s="1"/>
      <c r="E212" s="1"/>
      <c r="F212" s="1"/>
      <c r="G212" s="1"/>
      <c r="H212" s="1"/>
      <c r="I212" s="1"/>
      <c r="J212" s="1"/>
      <c r="K212" s="1"/>
      <c r="L212" s="1"/>
      <c r="M212" s="1"/>
      <c r="N212" s="1"/>
      <c r="O212" s="1"/>
      <c r="P212" s="1"/>
      <c r="Q212" s="1"/>
      <c r="R212" s="1"/>
    </row>
    <row r="213" spans="2:18">
      <c r="B213" s="1"/>
      <c r="C213" s="1"/>
      <c r="D213" s="1"/>
      <c r="E213" s="1"/>
      <c r="F213" s="1"/>
      <c r="G213" s="1"/>
      <c r="H213" s="1"/>
      <c r="I213" s="1"/>
      <c r="J213" s="1"/>
      <c r="K213" s="1"/>
      <c r="L213" s="1"/>
      <c r="M213" s="1"/>
      <c r="N213" s="1"/>
      <c r="O213" s="1"/>
      <c r="P213" s="1"/>
      <c r="Q213" s="1"/>
      <c r="R213" s="1"/>
    </row>
    <row r="214" spans="2:18">
      <c r="B214" s="1"/>
      <c r="C214" s="1"/>
      <c r="D214" s="1"/>
      <c r="E214" s="1"/>
      <c r="F214" s="1"/>
      <c r="G214" s="1"/>
      <c r="H214" s="1"/>
      <c r="I214" s="1"/>
      <c r="J214" s="1"/>
      <c r="K214" s="1"/>
      <c r="L214" s="1"/>
      <c r="M214" s="1"/>
      <c r="N214" s="1"/>
      <c r="O214" s="1"/>
      <c r="P214" s="1"/>
      <c r="Q214" s="1"/>
      <c r="R214" s="1"/>
    </row>
    <row r="215" spans="2:18">
      <c r="B215" s="1"/>
      <c r="C215" s="1"/>
      <c r="D215" s="1"/>
      <c r="E215" s="1"/>
      <c r="F215" s="1"/>
      <c r="G215" s="1"/>
      <c r="H215" s="1"/>
      <c r="I215" s="1"/>
      <c r="J215" s="1"/>
      <c r="K215" s="1"/>
      <c r="L215" s="1"/>
      <c r="M215" s="1"/>
      <c r="N215" s="1"/>
      <c r="O215" s="1"/>
      <c r="P215" s="1"/>
      <c r="Q215" s="1"/>
      <c r="R215" s="1"/>
    </row>
    <row r="216" spans="2:18">
      <c r="B216" s="1"/>
      <c r="C216" s="1"/>
      <c r="D216" s="1"/>
      <c r="E216" s="1"/>
      <c r="F216" s="1"/>
      <c r="G216" s="1"/>
      <c r="H216" s="1"/>
      <c r="I216" s="1"/>
      <c r="J216" s="1"/>
      <c r="K216" s="1"/>
      <c r="L216" s="1"/>
      <c r="M216" s="1"/>
      <c r="N216" s="1"/>
      <c r="O216" s="1"/>
      <c r="P216" s="1"/>
      <c r="Q216" s="1"/>
      <c r="R216" s="1"/>
    </row>
    <row r="217" spans="2:18">
      <c r="B217" s="1"/>
      <c r="C217" s="1"/>
      <c r="D217" s="1"/>
      <c r="E217" s="1"/>
      <c r="F217" s="1"/>
      <c r="G217" s="1"/>
      <c r="H217" s="1"/>
      <c r="I217" s="1"/>
      <c r="J217" s="1"/>
      <c r="K217" s="1"/>
      <c r="L217" s="1"/>
      <c r="M217" s="1"/>
      <c r="N217" s="1"/>
      <c r="O217" s="1"/>
      <c r="P217" s="1"/>
      <c r="Q217" s="1"/>
      <c r="R217" s="1"/>
    </row>
    <row r="218" spans="2:18">
      <c r="B218" s="1"/>
      <c r="C218" s="1"/>
      <c r="D218" s="1"/>
      <c r="E218" s="1"/>
      <c r="F218" s="1"/>
      <c r="G218" s="1"/>
      <c r="H218" s="1"/>
      <c r="I218" s="1"/>
      <c r="J218" s="1"/>
      <c r="K218" s="1"/>
      <c r="L218" s="1"/>
      <c r="M218" s="1"/>
      <c r="N218" s="1"/>
      <c r="O218" s="1"/>
      <c r="P218" s="1"/>
      <c r="Q218" s="1"/>
      <c r="R218" s="1"/>
    </row>
    <row r="219" spans="2:18">
      <c r="B219" s="1"/>
      <c r="C219" s="1"/>
      <c r="D219" s="1"/>
      <c r="E219" s="1"/>
      <c r="F219" s="1"/>
      <c r="G219" s="1"/>
      <c r="H219" s="1"/>
      <c r="I219" s="1"/>
      <c r="J219" s="1"/>
      <c r="K219" s="1"/>
      <c r="L219" s="1"/>
      <c r="M219" s="1"/>
      <c r="N219" s="1"/>
      <c r="O219" s="1"/>
      <c r="P219" s="1"/>
      <c r="Q219" s="1"/>
      <c r="R219" s="1"/>
    </row>
    <row r="220" spans="2:18">
      <c r="B220" s="1"/>
      <c r="C220" s="1"/>
      <c r="D220" s="1"/>
      <c r="E220" s="1"/>
      <c r="F220" s="1"/>
      <c r="G220" s="1"/>
      <c r="H220" s="1"/>
      <c r="I220" s="1"/>
      <c r="J220" s="1"/>
      <c r="K220" s="1"/>
      <c r="L220" s="1"/>
      <c r="M220" s="1"/>
      <c r="N220" s="1"/>
      <c r="O220" s="1"/>
      <c r="P220" s="1"/>
      <c r="Q220" s="1"/>
      <c r="R220" s="1"/>
    </row>
    <row r="221" spans="2:18">
      <c r="B221" s="1"/>
      <c r="C221" s="1"/>
      <c r="D221" s="1"/>
      <c r="E221" s="1"/>
      <c r="F221" s="1"/>
      <c r="G221" s="1"/>
      <c r="H221" s="1"/>
      <c r="I221" s="1"/>
      <c r="J221" s="1"/>
      <c r="K221" s="1"/>
      <c r="L221" s="1"/>
      <c r="M221" s="1"/>
      <c r="N221" s="1"/>
      <c r="O221" s="1"/>
      <c r="P221" s="1"/>
      <c r="Q221" s="1"/>
      <c r="R221" s="1"/>
    </row>
    <row r="222" spans="2:18">
      <c r="B222" s="1"/>
      <c r="C222" s="1"/>
      <c r="D222" s="1"/>
      <c r="E222" s="1"/>
      <c r="F222" s="1"/>
      <c r="G222" s="1"/>
      <c r="H222" s="1"/>
      <c r="I222" s="1"/>
      <c r="J222" s="1"/>
      <c r="K222" s="1"/>
      <c r="L222" s="1"/>
      <c r="M222" s="1"/>
      <c r="N222" s="1"/>
      <c r="O222" s="1"/>
      <c r="P222" s="1"/>
      <c r="Q222" s="1"/>
      <c r="R222" s="1"/>
    </row>
    <row r="223" spans="2:18">
      <c r="B223" s="1"/>
      <c r="C223" s="1"/>
      <c r="D223" s="1"/>
      <c r="E223" s="1"/>
      <c r="F223" s="1"/>
      <c r="G223" s="1"/>
      <c r="H223" s="1"/>
      <c r="I223" s="1"/>
      <c r="J223" s="1"/>
      <c r="K223" s="1"/>
      <c r="L223" s="1"/>
      <c r="M223" s="1"/>
      <c r="N223" s="1"/>
      <c r="O223" s="1"/>
      <c r="P223" s="1"/>
      <c r="Q223" s="1"/>
      <c r="R223" s="1"/>
    </row>
    <row r="224" spans="2:18">
      <c r="B224" s="1"/>
      <c r="C224" s="1"/>
      <c r="D224" s="1"/>
      <c r="E224" s="1"/>
      <c r="F224" s="1"/>
      <c r="G224" s="1"/>
      <c r="H224" s="1"/>
      <c r="I224" s="1"/>
      <c r="J224" s="1"/>
      <c r="K224" s="1"/>
      <c r="L224" s="1"/>
      <c r="M224" s="1"/>
      <c r="N224" s="1"/>
      <c r="O224" s="1"/>
      <c r="P224" s="1"/>
      <c r="Q224" s="1"/>
      <c r="R224" s="1"/>
    </row>
    <row r="225" spans="2:18">
      <c r="B225" s="1"/>
      <c r="C225" s="1"/>
      <c r="D225" s="1"/>
      <c r="E225" s="1"/>
      <c r="F225" s="1"/>
      <c r="G225" s="1"/>
      <c r="H225" s="1"/>
      <c r="I225" s="1"/>
      <c r="J225" s="1"/>
      <c r="K225" s="1"/>
      <c r="L225" s="1"/>
      <c r="M225" s="1"/>
      <c r="N225" s="1"/>
      <c r="O225" s="1"/>
      <c r="P225" s="1"/>
      <c r="Q225" s="1"/>
      <c r="R225" s="1"/>
    </row>
    <row r="226" spans="2:18">
      <c r="B226" s="1"/>
      <c r="C226" s="1"/>
      <c r="D226" s="1"/>
      <c r="E226" s="1"/>
      <c r="F226" s="1"/>
      <c r="G226" s="1"/>
      <c r="H226" s="1"/>
      <c r="I226" s="1"/>
      <c r="J226" s="1"/>
      <c r="K226" s="1"/>
      <c r="L226" s="1"/>
      <c r="M226" s="1"/>
      <c r="N226" s="1"/>
      <c r="O226" s="1"/>
      <c r="P226" s="1"/>
      <c r="Q226" s="1"/>
      <c r="R226" s="1"/>
    </row>
    <row r="227" spans="2:18">
      <c r="B227" s="1"/>
      <c r="C227" s="1"/>
      <c r="D227" s="1"/>
      <c r="E227" s="1"/>
      <c r="F227" s="1"/>
      <c r="G227" s="1"/>
      <c r="H227" s="1"/>
      <c r="I227" s="1"/>
      <c r="J227" s="1"/>
      <c r="K227" s="1"/>
      <c r="L227" s="1"/>
      <c r="M227" s="1"/>
      <c r="N227" s="1"/>
      <c r="O227" s="1"/>
      <c r="P227" s="1"/>
      <c r="Q227" s="1"/>
      <c r="R227" s="1"/>
    </row>
    <row r="228" spans="2:18">
      <c r="B228" s="1"/>
      <c r="C228" s="1"/>
      <c r="D228" s="1"/>
      <c r="E228" s="1"/>
      <c r="F228" s="1"/>
      <c r="G228" s="1"/>
      <c r="H228" s="1"/>
      <c r="I228" s="1"/>
      <c r="J228" s="1"/>
      <c r="K228" s="1"/>
      <c r="L228" s="1"/>
      <c r="M228" s="1"/>
      <c r="N228" s="1"/>
      <c r="O228" s="1"/>
      <c r="P228" s="1"/>
      <c r="Q228" s="1"/>
      <c r="R228" s="1"/>
    </row>
    <row r="229" spans="2:18">
      <c r="B229" s="1"/>
      <c r="C229" s="1"/>
      <c r="D229" s="1"/>
      <c r="E229" s="1"/>
      <c r="F229" s="1"/>
      <c r="G229" s="1"/>
      <c r="H229" s="1"/>
      <c r="I229" s="1"/>
      <c r="J229" s="1"/>
      <c r="K229" s="1"/>
      <c r="L229" s="1"/>
      <c r="M229" s="1"/>
      <c r="N229" s="1"/>
      <c r="O229" s="1"/>
      <c r="P229" s="1"/>
      <c r="Q229" s="1"/>
      <c r="R229" s="1"/>
    </row>
    <row r="230" spans="2:18">
      <c r="B230" s="1"/>
      <c r="C230" s="1"/>
      <c r="D230" s="1"/>
      <c r="E230" s="1"/>
      <c r="F230" s="1"/>
      <c r="G230" s="1"/>
      <c r="H230" s="1"/>
      <c r="I230" s="1"/>
      <c r="J230" s="1"/>
      <c r="K230" s="1"/>
      <c r="L230" s="1"/>
      <c r="M230" s="1"/>
      <c r="N230" s="1"/>
      <c r="O230" s="1"/>
      <c r="P230" s="1"/>
      <c r="Q230" s="1"/>
      <c r="R230" s="1"/>
    </row>
    <row r="231" spans="2:18">
      <c r="B231" s="1"/>
      <c r="C231" s="1"/>
      <c r="D231" s="1"/>
      <c r="E231" s="1"/>
      <c r="F231" s="1"/>
      <c r="G231" s="1"/>
      <c r="H231" s="1"/>
      <c r="I231" s="1"/>
      <c r="J231" s="1"/>
      <c r="K231" s="1"/>
      <c r="L231" s="1"/>
      <c r="M231" s="1"/>
      <c r="N231" s="1"/>
      <c r="O231" s="1"/>
      <c r="P231" s="1"/>
      <c r="Q231" s="1"/>
      <c r="R231" s="1"/>
    </row>
    <row r="232" spans="2:18">
      <c r="B232" s="1"/>
      <c r="C232" s="1"/>
      <c r="D232" s="1"/>
      <c r="E232" s="1"/>
      <c r="F232" s="1"/>
      <c r="G232" s="1"/>
      <c r="H232" s="1"/>
      <c r="I232" s="1"/>
      <c r="J232" s="1"/>
      <c r="K232" s="1"/>
      <c r="L232" s="1"/>
      <c r="M232" s="1"/>
      <c r="N232" s="1"/>
      <c r="O232" s="1"/>
      <c r="P232" s="1"/>
      <c r="Q232" s="1"/>
      <c r="R232" s="1"/>
    </row>
    <row r="233" spans="2:18">
      <c r="B233" s="1"/>
      <c r="C233" s="1"/>
      <c r="D233" s="1"/>
      <c r="E233" s="1"/>
      <c r="F233" s="1"/>
      <c r="G233" s="1"/>
      <c r="H233" s="1"/>
      <c r="I233" s="1"/>
      <c r="J233" s="1"/>
      <c r="K233" s="1"/>
      <c r="L233" s="1"/>
      <c r="M233" s="1"/>
      <c r="N233" s="1"/>
      <c r="O233" s="1"/>
      <c r="P233" s="1"/>
      <c r="Q233" s="1"/>
      <c r="R233" s="1"/>
    </row>
    <row r="234" spans="2:18">
      <c r="B234" s="1"/>
      <c r="C234" s="1"/>
      <c r="D234" s="1"/>
      <c r="E234" s="1"/>
      <c r="F234" s="1"/>
      <c r="G234" s="1"/>
      <c r="H234" s="1"/>
      <c r="I234" s="1"/>
      <c r="J234" s="1"/>
      <c r="K234" s="1"/>
      <c r="L234" s="1"/>
      <c r="M234" s="1"/>
      <c r="N234" s="1"/>
      <c r="O234" s="1"/>
      <c r="P234" s="1"/>
      <c r="Q234" s="1"/>
      <c r="R234" s="1"/>
    </row>
    <row r="235" spans="2:18">
      <c r="B235" s="1"/>
      <c r="C235" s="1"/>
      <c r="D235" s="1"/>
      <c r="E235" s="1"/>
      <c r="F235" s="1"/>
      <c r="G235" s="1"/>
      <c r="H235" s="1"/>
      <c r="I235" s="1"/>
      <c r="J235" s="1"/>
      <c r="K235" s="1"/>
      <c r="L235" s="1"/>
      <c r="M235" s="1"/>
      <c r="N235" s="1"/>
      <c r="O235" s="1"/>
      <c r="P235" s="1"/>
      <c r="Q235" s="1"/>
      <c r="R235" s="1"/>
    </row>
    <row r="236" spans="2:18">
      <c r="B236" s="1"/>
      <c r="C236" s="1"/>
      <c r="D236" s="1"/>
      <c r="E236" s="1"/>
      <c r="F236" s="1"/>
      <c r="G236" s="1"/>
      <c r="H236" s="1"/>
      <c r="I236" s="1"/>
      <c r="J236" s="1"/>
      <c r="K236" s="1"/>
      <c r="L236" s="1"/>
      <c r="M236" s="1"/>
      <c r="N236" s="1"/>
      <c r="O236" s="1"/>
      <c r="P236" s="1"/>
      <c r="Q236" s="1"/>
      <c r="R236" s="1"/>
    </row>
    <row r="237" spans="2:18">
      <c r="B237" s="1"/>
      <c r="C237" s="1"/>
      <c r="D237" s="1"/>
      <c r="E237" s="1"/>
      <c r="F237" s="1"/>
      <c r="G237" s="1"/>
      <c r="H237" s="1"/>
      <c r="I237" s="1"/>
      <c r="J237" s="1"/>
      <c r="K237" s="1"/>
      <c r="L237" s="1"/>
      <c r="M237" s="1"/>
      <c r="N237" s="1"/>
      <c r="O237" s="1"/>
      <c r="P237" s="1"/>
      <c r="Q237" s="1"/>
      <c r="R237" s="1"/>
    </row>
    <row r="238" spans="2:18">
      <c r="B238" s="1"/>
      <c r="C238" s="1"/>
      <c r="D238" s="1"/>
      <c r="E238" s="1"/>
      <c r="F238" s="1"/>
      <c r="G238" s="1"/>
      <c r="H238" s="1"/>
      <c r="I238" s="1"/>
      <c r="J238" s="1"/>
      <c r="K238" s="1"/>
      <c r="L238" s="1"/>
      <c r="M238" s="1"/>
      <c r="N238" s="1"/>
      <c r="O238" s="1"/>
      <c r="P238" s="1"/>
      <c r="Q238" s="1"/>
      <c r="R238" s="1"/>
    </row>
    <row r="239" spans="2:18">
      <c r="B239" s="1"/>
      <c r="C239" s="1"/>
      <c r="D239" s="1"/>
      <c r="E239" s="1"/>
      <c r="F239" s="1"/>
      <c r="G239" s="1"/>
      <c r="H239" s="1"/>
      <c r="I239" s="1"/>
      <c r="J239" s="1"/>
      <c r="K239" s="1"/>
      <c r="L239" s="1"/>
      <c r="M239" s="1"/>
      <c r="N239" s="1"/>
      <c r="O239" s="1"/>
      <c r="P239" s="1"/>
      <c r="Q239" s="1"/>
      <c r="R239" s="1"/>
    </row>
    <row r="240" spans="2:18">
      <c r="B240" s="1"/>
      <c r="C240" s="1"/>
      <c r="D240" s="1"/>
      <c r="E240" s="1"/>
      <c r="F240" s="1"/>
      <c r="G240" s="1"/>
      <c r="H240" s="1"/>
      <c r="I240" s="1"/>
      <c r="J240" s="1"/>
      <c r="K240" s="1"/>
      <c r="L240" s="1"/>
      <c r="M240" s="1"/>
      <c r="N240" s="1"/>
      <c r="O240" s="1"/>
      <c r="P240" s="1"/>
      <c r="Q240" s="1"/>
      <c r="R240" s="1"/>
    </row>
    <row r="241" spans="2:18">
      <c r="B241" s="1"/>
      <c r="C241" s="1"/>
      <c r="D241" s="1"/>
      <c r="E241" s="1"/>
      <c r="F241" s="1"/>
      <c r="G241" s="1"/>
      <c r="H241" s="1"/>
      <c r="I241" s="1"/>
      <c r="J241" s="1"/>
      <c r="K241" s="1"/>
      <c r="L241" s="1"/>
      <c r="M241" s="1"/>
      <c r="N241" s="1"/>
      <c r="O241" s="1"/>
      <c r="P241" s="1"/>
      <c r="Q241" s="1"/>
      <c r="R241" s="1"/>
    </row>
    <row r="242" spans="2:18">
      <c r="B242" s="1"/>
      <c r="C242" s="1"/>
      <c r="D242" s="1"/>
      <c r="E242" s="1"/>
      <c r="F242" s="1"/>
      <c r="G242" s="1"/>
      <c r="H242" s="1"/>
      <c r="I242" s="1"/>
      <c r="J242" s="1"/>
      <c r="K242" s="1"/>
      <c r="L242" s="1"/>
      <c r="M242" s="1"/>
      <c r="N242" s="1"/>
      <c r="O242" s="1"/>
      <c r="P242" s="1"/>
      <c r="Q242" s="1"/>
      <c r="R242" s="1"/>
    </row>
    <row r="243" spans="2:18">
      <c r="B243" s="1"/>
      <c r="C243" s="1"/>
      <c r="D243" s="1"/>
      <c r="E243" s="1"/>
      <c r="F243" s="1"/>
      <c r="G243" s="1"/>
      <c r="H243" s="1"/>
      <c r="I243" s="1"/>
      <c r="J243" s="1"/>
      <c r="K243" s="1"/>
      <c r="L243" s="1"/>
      <c r="M243" s="1"/>
      <c r="N243" s="1"/>
      <c r="O243" s="1"/>
      <c r="P243" s="1"/>
      <c r="Q243" s="1"/>
      <c r="R243" s="1"/>
    </row>
    <row r="244" spans="2:18">
      <c r="B244" s="1"/>
      <c r="C244" s="1"/>
      <c r="D244" s="1"/>
      <c r="E244" s="1"/>
      <c r="F244" s="1"/>
      <c r="G244" s="1"/>
      <c r="H244" s="1"/>
      <c r="I244" s="1"/>
      <c r="J244" s="1"/>
      <c r="K244" s="1"/>
      <c r="L244" s="1"/>
      <c r="M244" s="1"/>
      <c r="N244" s="1"/>
      <c r="O244" s="1"/>
      <c r="P244" s="1"/>
      <c r="Q244" s="1"/>
      <c r="R244" s="1"/>
    </row>
    <row r="245" spans="2:18">
      <c r="B245" s="1"/>
      <c r="C245" s="1"/>
      <c r="D245" s="1"/>
      <c r="E245" s="1"/>
      <c r="F245" s="1"/>
      <c r="G245" s="1"/>
      <c r="H245" s="1"/>
      <c r="I245" s="1"/>
      <c r="J245" s="1"/>
      <c r="K245" s="1"/>
      <c r="L245" s="1"/>
      <c r="M245" s="1"/>
      <c r="N245" s="1"/>
      <c r="O245" s="1"/>
      <c r="P245" s="1"/>
      <c r="Q245" s="1"/>
      <c r="R245" s="1"/>
    </row>
    <row r="246" spans="2:18">
      <c r="B246" s="1"/>
      <c r="C246" s="1"/>
      <c r="D246" s="1"/>
      <c r="E246" s="1"/>
      <c r="F246" s="1"/>
      <c r="G246" s="1"/>
      <c r="H246" s="1"/>
      <c r="I246" s="1"/>
      <c r="J246" s="1"/>
      <c r="K246" s="1"/>
      <c r="L246" s="1"/>
      <c r="M246" s="1"/>
      <c r="N246" s="1"/>
      <c r="O246" s="1"/>
      <c r="P246" s="1"/>
      <c r="Q246" s="1"/>
      <c r="R246" s="1"/>
    </row>
    <row r="247" spans="2:18">
      <c r="B247" s="1"/>
      <c r="C247" s="1"/>
      <c r="D247" s="1"/>
      <c r="E247" s="1"/>
      <c r="F247" s="1"/>
      <c r="G247" s="1"/>
      <c r="H247" s="1"/>
      <c r="I247" s="1"/>
      <c r="J247" s="1"/>
      <c r="K247" s="1"/>
      <c r="L247" s="1"/>
      <c r="M247" s="1"/>
      <c r="N247" s="1"/>
      <c r="O247" s="1"/>
      <c r="P247" s="1"/>
      <c r="Q247" s="1"/>
      <c r="R247" s="1"/>
    </row>
    <row r="248" spans="2:18">
      <c r="B248" s="1"/>
      <c r="C248" s="1"/>
      <c r="D248" s="1"/>
      <c r="E248" s="1"/>
      <c r="F248" s="1"/>
      <c r="G248" s="1"/>
      <c r="H248" s="1"/>
      <c r="I248" s="1"/>
      <c r="J248" s="1"/>
      <c r="K248" s="1"/>
      <c r="L248" s="1"/>
      <c r="M248" s="1"/>
      <c r="N248" s="1"/>
      <c r="O248" s="1"/>
      <c r="P248" s="1"/>
      <c r="Q248" s="1"/>
      <c r="R248" s="1"/>
    </row>
    <row r="249" spans="2:18">
      <c r="B249" s="1"/>
      <c r="C249" s="1"/>
      <c r="D249" s="1"/>
      <c r="E249" s="1"/>
      <c r="F249" s="1"/>
      <c r="G249" s="1"/>
      <c r="H249" s="1"/>
      <c r="I249" s="1"/>
      <c r="J249" s="1"/>
      <c r="K249" s="1"/>
      <c r="L249" s="1"/>
      <c r="M249" s="1"/>
      <c r="N249" s="1"/>
      <c r="O249" s="1"/>
      <c r="P249" s="1"/>
      <c r="Q249" s="1"/>
      <c r="R249" s="1"/>
    </row>
    <row r="250" spans="2:18">
      <c r="B250" s="1"/>
      <c r="C250" s="1"/>
      <c r="D250" s="1"/>
      <c r="E250" s="1"/>
      <c r="F250" s="1"/>
      <c r="G250" s="1"/>
      <c r="H250" s="1"/>
      <c r="I250" s="1"/>
      <c r="J250" s="1"/>
      <c r="K250" s="1"/>
      <c r="L250" s="1"/>
      <c r="M250" s="1"/>
      <c r="N250" s="1"/>
      <c r="O250" s="1"/>
      <c r="P250" s="1"/>
      <c r="Q250" s="1"/>
      <c r="R250" s="1"/>
    </row>
    <row r="251" spans="2:18">
      <c r="B251" s="1"/>
      <c r="C251" s="1"/>
      <c r="D251" s="1"/>
      <c r="E251" s="1"/>
      <c r="F251" s="1"/>
      <c r="G251" s="1"/>
      <c r="H251" s="1"/>
      <c r="I251" s="1"/>
      <c r="J251" s="1"/>
      <c r="K251" s="1"/>
      <c r="L251" s="1"/>
      <c r="M251" s="1"/>
      <c r="N251" s="1"/>
      <c r="O251" s="1"/>
      <c r="P251" s="1"/>
      <c r="Q251" s="1"/>
      <c r="R251" s="1"/>
    </row>
    <row r="252" spans="2:18">
      <c r="B252" s="1"/>
      <c r="C252" s="1"/>
      <c r="D252" s="1"/>
      <c r="E252" s="1"/>
      <c r="F252" s="1"/>
      <c r="G252" s="1"/>
      <c r="H252" s="1"/>
      <c r="I252" s="1"/>
      <c r="J252" s="1"/>
      <c r="K252" s="1"/>
      <c r="L252" s="1"/>
      <c r="M252" s="1"/>
      <c r="N252" s="1"/>
      <c r="O252" s="1"/>
      <c r="P252" s="1"/>
      <c r="Q252" s="1"/>
      <c r="R252" s="1"/>
    </row>
    <row r="253" spans="2:18">
      <c r="B253" s="1"/>
      <c r="C253" s="1"/>
      <c r="D253" s="1"/>
      <c r="E253" s="1"/>
      <c r="F253" s="1"/>
      <c r="G253" s="1"/>
      <c r="H253" s="1"/>
      <c r="I253" s="1"/>
      <c r="J253" s="1"/>
      <c r="K253" s="1"/>
      <c r="L253" s="1"/>
      <c r="M253" s="1"/>
      <c r="N253" s="1"/>
      <c r="O253" s="1"/>
      <c r="P253" s="1"/>
      <c r="Q253" s="1"/>
      <c r="R253" s="1"/>
    </row>
    <row r="254" spans="2:18">
      <c r="B254" s="1"/>
      <c r="C254" s="1"/>
      <c r="D254" s="1"/>
      <c r="E254" s="1"/>
      <c r="F254" s="1"/>
      <c r="G254" s="1"/>
      <c r="H254" s="1"/>
      <c r="I254" s="1"/>
      <c r="J254" s="1"/>
      <c r="K254" s="1"/>
      <c r="L254" s="1"/>
      <c r="M254" s="1"/>
      <c r="N254" s="1"/>
      <c r="O254" s="1"/>
      <c r="P254" s="1"/>
      <c r="Q254" s="1"/>
      <c r="R254" s="1"/>
    </row>
    <row r="255" spans="2:18">
      <c r="B255" s="1"/>
      <c r="C255" s="1"/>
      <c r="D255" s="1"/>
      <c r="E255" s="1"/>
      <c r="F255" s="1"/>
      <c r="G255" s="1"/>
      <c r="H255" s="1"/>
      <c r="I255" s="1"/>
      <c r="J255" s="1"/>
      <c r="K255" s="1"/>
      <c r="L255" s="1"/>
      <c r="M255" s="1"/>
      <c r="N255" s="1"/>
      <c r="O255" s="1"/>
      <c r="P255" s="1"/>
      <c r="Q255" s="1"/>
      <c r="R255" s="1"/>
    </row>
    <row r="256" spans="2:18">
      <c r="B256" s="1"/>
      <c r="C256" s="1"/>
      <c r="D256" s="1"/>
      <c r="E256" s="1"/>
      <c r="F256" s="1"/>
      <c r="G256" s="1"/>
      <c r="H256" s="1"/>
      <c r="I256" s="1"/>
      <c r="J256" s="1"/>
      <c r="K256" s="1"/>
      <c r="L256" s="1"/>
      <c r="M256" s="1"/>
      <c r="N256" s="1"/>
      <c r="O256" s="1"/>
      <c r="P256" s="1"/>
      <c r="Q256" s="1"/>
      <c r="R256" s="1"/>
    </row>
    <row r="257" spans="2:18">
      <c r="B257" s="1"/>
      <c r="C257" s="1"/>
      <c r="D257" s="1"/>
      <c r="E257" s="1"/>
      <c r="F257" s="1"/>
      <c r="G257" s="1"/>
      <c r="H257" s="1"/>
      <c r="I257" s="1"/>
      <c r="J257" s="1"/>
      <c r="K257" s="1"/>
      <c r="L257" s="1"/>
      <c r="M257" s="1"/>
      <c r="N257" s="1"/>
      <c r="O257" s="1"/>
      <c r="P257" s="1"/>
      <c r="Q257" s="1"/>
      <c r="R257" s="1"/>
    </row>
    <row r="258" spans="2:18">
      <c r="B258" s="1"/>
      <c r="C258" s="1"/>
      <c r="D258" s="1"/>
      <c r="E258" s="1"/>
      <c r="F258" s="1"/>
      <c r="G258" s="1"/>
      <c r="H258" s="1"/>
      <c r="I258" s="1"/>
      <c r="J258" s="1"/>
      <c r="K258" s="1"/>
      <c r="L258" s="1"/>
      <c r="M258" s="1"/>
      <c r="N258" s="1"/>
      <c r="O258" s="1"/>
      <c r="P258" s="1"/>
      <c r="Q258" s="1"/>
      <c r="R258" s="1"/>
    </row>
    <row r="259" spans="2:18">
      <c r="B259" s="1"/>
      <c r="C259" s="1"/>
      <c r="D259" s="1"/>
      <c r="E259" s="1"/>
      <c r="F259" s="1"/>
      <c r="G259" s="1"/>
      <c r="H259" s="1"/>
      <c r="I259" s="1"/>
      <c r="J259" s="1"/>
      <c r="K259" s="1"/>
      <c r="L259" s="1"/>
      <c r="M259" s="1"/>
      <c r="N259" s="1"/>
      <c r="O259" s="1"/>
      <c r="P259" s="1"/>
      <c r="Q259" s="1"/>
      <c r="R259" s="1"/>
    </row>
    <row r="260" spans="2:18">
      <c r="B260" s="1"/>
      <c r="C260" s="1"/>
      <c r="D260" s="1"/>
      <c r="E260" s="1"/>
      <c r="F260" s="1"/>
      <c r="G260" s="1"/>
      <c r="H260" s="1"/>
      <c r="I260" s="1"/>
      <c r="J260" s="1"/>
      <c r="K260" s="1"/>
      <c r="L260" s="1"/>
      <c r="M260" s="1"/>
      <c r="N260" s="1"/>
      <c r="O260" s="1"/>
      <c r="P260" s="1"/>
      <c r="Q260" s="1"/>
      <c r="R260" s="1"/>
    </row>
    <row r="261" spans="2:18">
      <c r="B261" s="1"/>
      <c r="C261" s="1"/>
      <c r="D261" s="1"/>
      <c r="E261" s="1"/>
      <c r="F261" s="1"/>
      <c r="G261" s="1"/>
      <c r="H261" s="1"/>
      <c r="I261" s="1"/>
      <c r="J261" s="1"/>
      <c r="K261" s="1"/>
      <c r="L261" s="1"/>
      <c r="M261" s="1"/>
      <c r="N261" s="1"/>
      <c r="O261" s="1"/>
      <c r="P261" s="1"/>
      <c r="Q261" s="1"/>
      <c r="R261" s="1"/>
    </row>
    <row r="262" spans="2:18">
      <c r="B262" s="1"/>
      <c r="C262" s="1"/>
      <c r="D262" s="1"/>
      <c r="E262" s="1"/>
      <c r="F262" s="1"/>
      <c r="G262" s="1"/>
      <c r="H262" s="1"/>
      <c r="I262" s="1"/>
      <c r="J262" s="1"/>
      <c r="K262" s="1"/>
      <c r="L262" s="1"/>
      <c r="M262" s="1"/>
      <c r="N262" s="1"/>
      <c r="O262" s="1"/>
      <c r="P262" s="1"/>
      <c r="Q262" s="1"/>
      <c r="R262" s="1"/>
    </row>
    <row r="263" spans="2:18">
      <c r="B263" s="1"/>
      <c r="C263" s="1"/>
      <c r="D263" s="1"/>
      <c r="E263" s="1"/>
      <c r="F263" s="1"/>
      <c r="G263" s="1"/>
      <c r="H263" s="1"/>
      <c r="I263" s="1"/>
      <c r="J263" s="1"/>
      <c r="K263" s="1"/>
      <c r="L263" s="1"/>
      <c r="M263" s="1"/>
      <c r="N263" s="1"/>
      <c r="O263" s="1"/>
      <c r="P263" s="1"/>
      <c r="Q263" s="1"/>
      <c r="R263" s="1"/>
    </row>
    <row r="264" spans="2:18">
      <c r="B264" s="1"/>
      <c r="C264" s="1"/>
      <c r="D264" s="1"/>
      <c r="E264" s="1"/>
      <c r="F264" s="1"/>
      <c r="G264" s="1"/>
      <c r="H264" s="1"/>
      <c r="I264" s="1"/>
      <c r="J264" s="1"/>
      <c r="K264" s="1"/>
      <c r="L264" s="1"/>
      <c r="M264" s="1"/>
      <c r="N264" s="1"/>
      <c r="O264" s="1"/>
      <c r="P264" s="1"/>
      <c r="Q264" s="1"/>
      <c r="R264" s="1"/>
    </row>
    <row r="265" spans="2:18">
      <c r="B265" s="1"/>
      <c r="C265" s="1"/>
      <c r="D265" s="1"/>
      <c r="E265" s="1"/>
      <c r="F265" s="1"/>
      <c r="G265" s="1"/>
      <c r="H265" s="1"/>
      <c r="I265" s="1"/>
      <c r="J265" s="1"/>
      <c r="K265" s="1"/>
      <c r="L265" s="1"/>
      <c r="M265" s="1"/>
      <c r="N265" s="1"/>
      <c r="O265" s="1"/>
      <c r="P265" s="1"/>
      <c r="Q265" s="1"/>
      <c r="R265" s="1"/>
    </row>
    <row r="266" spans="2:18">
      <c r="B266" s="1"/>
      <c r="C266" s="1"/>
      <c r="D266" s="1"/>
      <c r="E266" s="1"/>
      <c r="F266" s="1"/>
      <c r="G266" s="1"/>
      <c r="H266" s="1"/>
      <c r="I266" s="1"/>
      <c r="J266" s="1"/>
      <c r="K266" s="1"/>
      <c r="L266" s="1"/>
      <c r="M266" s="1"/>
      <c r="N266" s="1"/>
      <c r="O266" s="1"/>
      <c r="P266" s="1"/>
      <c r="Q266" s="1"/>
      <c r="R266" s="1"/>
    </row>
    <row r="267" spans="2:18">
      <c r="B267" s="1"/>
      <c r="C267" s="1"/>
      <c r="D267" s="1"/>
      <c r="E267" s="1"/>
      <c r="F267" s="1"/>
      <c r="G267" s="1"/>
      <c r="H267" s="1"/>
      <c r="I267" s="1"/>
      <c r="J267" s="1"/>
      <c r="K267" s="1"/>
      <c r="L267" s="1"/>
      <c r="M267" s="1"/>
      <c r="N267" s="1"/>
      <c r="O267" s="1"/>
      <c r="P267" s="1"/>
      <c r="Q267" s="1"/>
      <c r="R267" s="1"/>
    </row>
    <row r="268" spans="2:18">
      <c r="B268" s="1"/>
      <c r="C268" s="1"/>
      <c r="D268" s="1"/>
      <c r="E268" s="1"/>
      <c r="F268" s="1"/>
      <c r="G268" s="1"/>
      <c r="H268" s="1"/>
      <c r="I268" s="1"/>
      <c r="J268" s="1"/>
      <c r="K268" s="1"/>
      <c r="L268" s="1"/>
      <c r="M268" s="1"/>
      <c r="N268" s="1"/>
      <c r="O268" s="1"/>
      <c r="P268" s="1"/>
      <c r="Q268" s="1"/>
      <c r="R268" s="1"/>
    </row>
    <row r="269" spans="2:18">
      <c r="B269" s="1"/>
      <c r="C269" s="1"/>
      <c r="D269" s="1"/>
      <c r="E269" s="1"/>
      <c r="F269" s="1"/>
      <c r="G269" s="1"/>
      <c r="H269" s="1"/>
      <c r="I269" s="1"/>
      <c r="J269" s="1"/>
      <c r="K269" s="1"/>
      <c r="L269" s="1"/>
      <c r="M269" s="1"/>
      <c r="N269" s="1"/>
      <c r="O269" s="1"/>
      <c r="P269" s="1"/>
      <c r="Q269" s="1"/>
      <c r="R269" s="1"/>
    </row>
    <row r="270" spans="2:18">
      <c r="B270" s="1"/>
      <c r="C270" s="1"/>
      <c r="D270" s="1"/>
      <c r="E270" s="1"/>
      <c r="F270" s="1"/>
      <c r="G270" s="1"/>
      <c r="H270" s="1"/>
      <c r="I270" s="1"/>
      <c r="J270" s="1"/>
      <c r="K270" s="1"/>
      <c r="L270" s="1"/>
      <c r="M270" s="1"/>
      <c r="N270" s="1"/>
      <c r="O270" s="1"/>
      <c r="P270" s="1"/>
      <c r="Q270" s="1"/>
      <c r="R270" s="1"/>
    </row>
    <row r="271" spans="2:18">
      <c r="B271" s="1"/>
      <c r="C271" s="1"/>
      <c r="D271" s="1"/>
      <c r="E271" s="1"/>
      <c r="F271" s="1"/>
      <c r="G271" s="1"/>
      <c r="H271" s="1"/>
      <c r="I271" s="1"/>
      <c r="J271" s="1"/>
      <c r="K271" s="1"/>
      <c r="L271" s="1"/>
      <c r="M271" s="1"/>
      <c r="N271" s="1"/>
      <c r="O271" s="1"/>
      <c r="P271" s="1"/>
      <c r="Q271" s="1"/>
      <c r="R271" s="1"/>
    </row>
    <row r="272" spans="2:18">
      <c r="B272" s="1"/>
      <c r="C272" s="1"/>
      <c r="D272" s="1"/>
      <c r="E272" s="1"/>
      <c r="F272" s="1"/>
      <c r="G272" s="1"/>
      <c r="H272" s="1"/>
      <c r="I272" s="1"/>
      <c r="J272" s="1"/>
      <c r="K272" s="1"/>
      <c r="L272" s="1"/>
      <c r="M272" s="1"/>
      <c r="N272" s="1"/>
      <c r="O272" s="1"/>
      <c r="P272" s="1"/>
      <c r="Q272" s="1"/>
      <c r="R272" s="1"/>
    </row>
    <row r="273" spans="2:18">
      <c r="B273" s="1"/>
      <c r="C273" s="1"/>
      <c r="D273" s="1"/>
      <c r="E273" s="1"/>
      <c r="F273" s="1"/>
      <c r="G273" s="1"/>
      <c r="H273" s="1"/>
      <c r="I273" s="1"/>
      <c r="J273" s="1"/>
      <c r="K273" s="1"/>
      <c r="L273" s="1"/>
      <c r="M273" s="1"/>
      <c r="N273" s="1"/>
      <c r="O273" s="1"/>
      <c r="P273" s="1"/>
      <c r="Q273" s="1"/>
      <c r="R273" s="1"/>
    </row>
    <row r="274" spans="2:18">
      <c r="B274" s="1"/>
      <c r="C274" s="1"/>
      <c r="D274" s="1"/>
      <c r="E274" s="1"/>
      <c r="F274" s="1"/>
      <c r="G274" s="1"/>
      <c r="H274" s="1"/>
      <c r="I274" s="1"/>
      <c r="J274" s="1"/>
      <c r="K274" s="1"/>
      <c r="L274" s="1"/>
      <c r="M274" s="1"/>
      <c r="N274" s="1"/>
      <c r="O274" s="1"/>
      <c r="P274" s="1"/>
      <c r="Q274" s="1"/>
      <c r="R274" s="1"/>
    </row>
    <row r="275" spans="2:18">
      <c r="B275" s="1"/>
      <c r="C275" s="1"/>
      <c r="D275" s="1"/>
      <c r="E275" s="1"/>
      <c r="F275" s="1"/>
      <c r="G275" s="1"/>
      <c r="H275" s="1"/>
      <c r="I275" s="1"/>
      <c r="J275" s="1"/>
      <c r="K275" s="1"/>
      <c r="L275" s="1"/>
      <c r="M275" s="1"/>
      <c r="N275" s="1"/>
      <c r="O275" s="1"/>
      <c r="P275" s="1"/>
      <c r="Q275" s="1"/>
      <c r="R275" s="1"/>
    </row>
    <row r="276" spans="2:18">
      <c r="B276" s="1"/>
      <c r="C276" s="1"/>
      <c r="D276" s="1"/>
      <c r="E276" s="1"/>
      <c r="F276" s="1"/>
      <c r="G276" s="1"/>
      <c r="H276" s="1"/>
      <c r="I276" s="1"/>
      <c r="J276" s="1"/>
      <c r="K276" s="1"/>
      <c r="L276" s="1"/>
      <c r="M276" s="1"/>
      <c r="N276" s="1"/>
      <c r="O276" s="1"/>
      <c r="P276" s="1"/>
      <c r="Q276" s="1"/>
      <c r="R276" s="1"/>
    </row>
    <row r="277" spans="2:18">
      <c r="B277" s="1"/>
      <c r="C277" s="1"/>
      <c r="D277" s="1"/>
      <c r="E277" s="1"/>
      <c r="F277" s="1"/>
      <c r="G277" s="1"/>
      <c r="H277" s="1"/>
      <c r="I277" s="1"/>
      <c r="J277" s="1"/>
      <c r="K277" s="1"/>
      <c r="L277" s="1"/>
      <c r="M277" s="1"/>
      <c r="N277" s="1"/>
      <c r="O277" s="1"/>
      <c r="P277" s="1"/>
      <c r="Q277" s="1"/>
      <c r="R277" s="1"/>
    </row>
    <row r="278" spans="2:18">
      <c r="B278" s="1"/>
      <c r="C278" s="1"/>
      <c r="D278" s="1"/>
      <c r="E278" s="1"/>
      <c r="F278" s="1"/>
      <c r="G278" s="1"/>
      <c r="H278" s="1"/>
      <c r="I278" s="1"/>
      <c r="J278" s="1"/>
      <c r="K278" s="1"/>
      <c r="L278" s="1"/>
      <c r="M278" s="1"/>
      <c r="N278" s="1"/>
      <c r="O278" s="1"/>
      <c r="P278" s="1"/>
      <c r="Q278" s="1"/>
      <c r="R278" s="1"/>
    </row>
    <row r="279" spans="2:18">
      <c r="B279" s="1"/>
      <c r="C279" s="1"/>
      <c r="D279" s="1"/>
      <c r="E279" s="1"/>
      <c r="F279" s="1"/>
      <c r="G279" s="1"/>
      <c r="H279" s="1"/>
      <c r="I279" s="1"/>
      <c r="J279" s="1"/>
      <c r="K279" s="1"/>
      <c r="L279" s="1"/>
      <c r="M279" s="1"/>
      <c r="N279" s="1"/>
      <c r="O279" s="1"/>
      <c r="P279" s="1"/>
      <c r="Q279" s="1"/>
      <c r="R279" s="1"/>
    </row>
    <row r="280" spans="2:18">
      <c r="B280" s="1"/>
      <c r="C280" s="1"/>
      <c r="D280" s="1"/>
      <c r="E280" s="1"/>
      <c r="F280" s="1"/>
      <c r="G280" s="1"/>
      <c r="H280" s="1"/>
      <c r="I280" s="1"/>
      <c r="J280" s="1"/>
      <c r="K280" s="1"/>
      <c r="L280" s="1"/>
      <c r="M280" s="1"/>
      <c r="N280" s="1"/>
      <c r="O280" s="1"/>
      <c r="P280" s="1"/>
      <c r="Q280" s="1"/>
      <c r="R280" s="1"/>
    </row>
    <row r="281" spans="2:18">
      <c r="B281" s="1"/>
      <c r="C281" s="1"/>
      <c r="D281" s="1"/>
      <c r="E281" s="1"/>
      <c r="F281" s="1"/>
      <c r="G281" s="1"/>
      <c r="H281" s="1"/>
      <c r="I281" s="1"/>
      <c r="J281" s="1"/>
      <c r="K281" s="1"/>
      <c r="L281" s="1"/>
      <c r="M281" s="1"/>
      <c r="N281" s="1"/>
      <c r="O281" s="1"/>
      <c r="P281" s="1"/>
      <c r="Q281" s="1"/>
      <c r="R281" s="1"/>
    </row>
    <row r="282" spans="2:18">
      <c r="B282" s="1"/>
      <c r="C282" s="1"/>
      <c r="D282" s="1"/>
      <c r="E282" s="1"/>
      <c r="F282" s="1"/>
      <c r="G282" s="1"/>
      <c r="H282" s="1"/>
      <c r="I282" s="1"/>
      <c r="J282" s="1"/>
      <c r="K282" s="1"/>
      <c r="L282" s="1"/>
      <c r="M282" s="1"/>
      <c r="N282" s="1"/>
      <c r="O282" s="1"/>
      <c r="P282" s="1"/>
      <c r="Q282" s="1"/>
      <c r="R282" s="1"/>
    </row>
    <row r="283" spans="2:18">
      <c r="B283" s="1"/>
      <c r="C283" s="1"/>
      <c r="D283" s="1"/>
      <c r="E283" s="1"/>
      <c r="F283" s="1"/>
      <c r="G283" s="1"/>
      <c r="H283" s="1"/>
      <c r="I283" s="1"/>
      <c r="J283" s="1"/>
      <c r="K283" s="1"/>
      <c r="L283" s="1"/>
      <c r="M283" s="1"/>
      <c r="N283" s="1"/>
      <c r="O283" s="1"/>
      <c r="P283" s="1"/>
      <c r="Q283" s="1"/>
      <c r="R283" s="1"/>
    </row>
    <row r="284" spans="2:18">
      <c r="B284" s="1"/>
      <c r="C284" s="1"/>
      <c r="D284" s="1"/>
      <c r="E284" s="1"/>
      <c r="F284" s="1"/>
      <c r="G284" s="1"/>
      <c r="H284" s="1"/>
      <c r="I284" s="1"/>
      <c r="J284" s="1"/>
      <c r="K284" s="1"/>
      <c r="L284" s="1"/>
      <c r="M284" s="1"/>
      <c r="N284" s="1"/>
      <c r="O284" s="1"/>
      <c r="P284" s="1"/>
      <c r="Q284" s="1"/>
      <c r="R284" s="1"/>
    </row>
    <row r="285" spans="2:18">
      <c r="B285" s="1"/>
      <c r="C285" s="1"/>
      <c r="D285" s="1"/>
      <c r="E285" s="1"/>
      <c r="F285" s="1"/>
      <c r="G285" s="1"/>
      <c r="H285" s="1"/>
      <c r="I285" s="1"/>
      <c r="J285" s="1"/>
      <c r="K285" s="1"/>
      <c r="L285" s="1"/>
      <c r="M285" s="1"/>
      <c r="N285" s="1"/>
      <c r="O285" s="1"/>
      <c r="P285" s="1"/>
      <c r="Q285" s="1"/>
      <c r="R285" s="1"/>
    </row>
    <row r="286" spans="2:18">
      <c r="B286" s="1"/>
      <c r="C286" s="1"/>
      <c r="D286" s="1"/>
      <c r="E286" s="1"/>
      <c r="F286" s="1"/>
      <c r="G286" s="1"/>
      <c r="H286" s="1"/>
      <c r="I286" s="1"/>
      <c r="J286" s="1"/>
      <c r="K286" s="1"/>
      <c r="L286" s="1"/>
      <c r="M286" s="1"/>
      <c r="N286" s="1"/>
      <c r="O286" s="1"/>
      <c r="P286" s="1"/>
      <c r="Q286" s="1"/>
      <c r="R286" s="1"/>
    </row>
    <row r="287" spans="2:18">
      <c r="B287" s="1"/>
      <c r="C287" s="1"/>
      <c r="D287" s="1"/>
      <c r="E287" s="1"/>
      <c r="F287" s="1"/>
      <c r="G287" s="1"/>
      <c r="H287" s="1"/>
      <c r="I287" s="1"/>
      <c r="J287" s="1"/>
      <c r="K287" s="1"/>
      <c r="L287" s="1"/>
      <c r="M287" s="1"/>
      <c r="N287" s="1"/>
      <c r="O287" s="1"/>
      <c r="P287" s="1"/>
      <c r="Q287" s="1"/>
      <c r="R287" s="1"/>
    </row>
    <row r="288" spans="2:18">
      <c r="B288" s="1"/>
      <c r="C288" s="1"/>
      <c r="D288" s="1"/>
      <c r="E288" s="1"/>
      <c r="F288" s="1"/>
      <c r="G288" s="1"/>
      <c r="H288" s="1"/>
      <c r="I288" s="1"/>
      <c r="J288" s="1"/>
      <c r="K288" s="1"/>
      <c r="L288" s="1"/>
      <c r="M288" s="1"/>
      <c r="N288" s="1"/>
      <c r="O288" s="1"/>
      <c r="P288" s="1"/>
      <c r="Q288" s="1"/>
      <c r="R288" s="1"/>
    </row>
    <row r="289" spans="2:18">
      <c r="B289" s="1"/>
      <c r="C289" s="1"/>
      <c r="D289" s="1"/>
      <c r="E289" s="1"/>
      <c r="F289" s="1"/>
      <c r="G289" s="1"/>
      <c r="H289" s="1"/>
      <c r="I289" s="1"/>
      <c r="J289" s="1"/>
      <c r="K289" s="1"/>
      <c r="L289" s="1"/>
      <c r="M289" s="1"/>
      <c r="N289" s="1"/>
      <c r="O289" s="1"/>
      <c r="P289" s="1"/>
      <c r="Q289" s="1"/>
      <c r="R289" s="1"/>
    </row>
    <row r="290" spans="2:18">
      <c r="B290" s="1"/>
      <c r="C290" s="1"/>
      <c r="D290" s="1"/>
      <c r="E290" s="1"/>
      <c r="F290" s="1"/>
      <c r="G290" s="1"/>
      <c r="H290" s="1"/>
      <c r="I290" s="1"/>
      <c r="J290" s="1"/>
      <c r="K290" s="1"/>
      <c r="L290" s="1"/>
      <c r="M290" s="1"/>
      <c r="N290" s="1"/>
      <c r="O290" s="1"/>
      <c r="P290" s="1"/>
      <c r="Q290" s="1"/>
      <c r="R290" s="1"/>
    </row>
    <row r="291" spans="2:18">
      <c r="B291" s="1"/>
      <c r="C291" s="1"/>
      <c r="D291" s="1"/>
      <c r="E291" s="1"/>
      <c r="F291" s="1"/>
      <c r="G291" s="1"/>
      <c r="H291" s="1"/>
      <c r="I291" s="1"/>
      <c r="J291" s="1"/>
      <c r="K291" s="1"/>
      <c r="L291" s="1"/>
      <c r="M291" s="1"/>
      <c r="N291" s="1"/>
      <c r="O291" s="1"/>
      <c r="P291" s="1"/>
      <c r="Q291" s="1"/>
      <c r="R291" s="1"/>
    </row>
    <row r="292" spans="2:18">
      <c r="B292" s="1"/>
      <c r="C292" s="1"/>
      <c r="D292" s="1"/>
      <c r="E292" s="1"/>
      <c r="F292" s="1"/>
      <c r="G292" s="1"/>
      <c r="H292" s="1"/>
      <c r="I292" s="1"/>
      <c r="J292" s="1"/>
      <c r="K292" s="1"/>
      <c r="L292" s="1"/>
      <c r="M292" s="1"/>
      <c r="N292" s="1"/>
      <c r="O292" s="1"/>
      <c r="P292" s="1"/>
      <c r="Q292" s="1"/>
      <c r="R292" s="1"/>
    </row>
    <row r="293" spans="2:18">
      <c r="B293" s="1"/>
      <c r="C293" s="1"/>
      <c r="D293" s="1"/>
      <c r="E293" s="1"/>
      <c r="F293" s="1"/>
      <c r="G293" s="1"/>
      <c r="H293" s="1"/>
      <c r="I293" s="1"/>
      <c r="J293" s="1"/>
      <c r="K293" s="1"/>
      <c r="L293" s="1"/>
      <c r="M293" s="1"/>
      <c r="N293" s="1"/>
      <c r="O293" s="1"/>
      <c r="P293" s="1"/>
      <c r="Q293" s="1"/>
      <c r="R293" s="1"/>
    </row>
    <row r="294" spans="2:18">
      <c r="B294" s="1"/>
      <c r="C294" s="1"/>
      <c r="D294" s="1"/>
      <c r="E294" s="1"/>
      <c r="F294" s="1"/>
      <c r="G294" s="1"/>
      <c r="H294" s="1"/>
      <c r="I294" s="1"/>
      <c r="J294" s="1"/>
      <c r="K294" s="1"/>
      <c r="L294" s="1"/>
      <c r="M294" s="1"/>
      <c r="N294" s="1"/>
      <c r="O294" s="1"/>
      <c r="P294" s="1"/>
      <c r="Q294" s="1"/>
      <c r="R294" s="1"/>
    </row>
    <row r="295" spans="2:18">
      <c r="B295" s="1"/>
      <c r="C295" s="1"/>
      <c r="D295" s="1"/>
      <c r="E295" s="1"/>
      <c r="F295" s="1"/>
      <c r="G295" s="1"/>
      <c r="H295" s="1"/>
      <c r="I295" s="1"/>
      <c r="J295" s="1"/>
      <c r="K295" s="1"/>
      <c r="L295" s="1"/>
      <c r="M295" s="1"/>
      <c r="N295" s="1"/>
      <c r="O295" s="1"/>
      <c r="P295" s="1"/>
      <c r="Q295" s="1"/>
      <c r="R295" s="1"/>
    </row>
    <row r="296" spans="2:18">
      <c r="B296" s="1"/>
      <c r="C296" s="1"/>
      <c r="D296" s="1"/>
      <c r="E296" s="1"/>
      <c r="F296" s="1"/>
      <c r="G296" s="1"/>
      <c r="H296" s="1"/>
      <c r="I296" s="1"/>
      <c r="J296" s="1"/>
      <c r="K296" s="1"/>
      <c r="L296" s="1"/>
      <c r="M296" s="1"/>
      <c r="N296" s="1"/>
      <c r="O296" s="1"/>
      <c r="P296" s="1"/>
      <c r="Q296" s="1"/>
      <c r="R296" s="1"/>
    </row>
    <row r="297" spans="2:18">
      <c r="B297" s="1"/>
      <c r="C297" s="1"/>
      <c r="D297" s="1"/>
      <c r="E297" s="1"/>
      <c r="F297" s="1"/>
      <c r="G297" s="1"/>
      <c r="H297" s="1"/>
      <c r="I297" s="1"/>
      <c r="J297" s="1"/>
      <c r="K297" s="1"/>
      <c r="L297" s="1"/>
      <c r="M297" s="1"/>
      <c r="N297" s="1"/>
      <c r="O297" s="1"/>
      <c r="P297" s="1"/>
      <c r="Q297" s="1"/>
      <c r="R297" s="1"/>
    </row>
    <row r="298" spans="2:18">
      <c r="B298" s="1"/>
      <c r="C298" s="1"/>
      <c r="D298" s="1"/>
      <c r="E298" s="1"/>
      <c r="F298" s="1"/>
      <c r="G298" s="1"/>
      <c r="H298" s="1"/>
      <c r="I298" s="1"/>
      <c r="J298" s="1"/>
      <c r="K298" s="1"/>
      <c r="L298" s="1"/>
      <c r="M298" s="1"/>
      <c r="N298" s="1"/>
      <c r="O298" s="1"/>
      <c r="P298" s="1"/>
      <c r="Q298" s="1"/>
      <c r="R298" s="1"/>
    </row>
    <row r="299" spans="2:18">
      <c r="B299" s="1"/>
      <c r="C299" s="1"/>
      <c r="D299" s="1"/>
      <c r="E299" s="1"/>
      <c r="F299" s="1"/>
      <c r="G299" s="1"/>
      <c r="H299" s="1"/>
      <c r="I299" s="1"/>
      <c r="J299" s="1"/>
      <c r="K299" s="1"/>
      <c r="L299" s="1"/>
      <c r="M299" s="1"/>
      <c r="N299" s="1"/>
      <c r="O299" s="1"/>
      <c r="P299" s="1"/>
      <c r="Q299" s="1"/>
      <c r="R299" s="1"/>
    </row>
    <row r="300" spans="2:18">
      <c r="B300" s="1"/>
      <c r="C300" s="1"/>
      <c r="D300" s="1"/>
      <c r="E300" s="1"/>
      <c r="F300" s="1"/>
      <c r="G300" s="1"/>
      <c r="H300" s="1"/>
      <c r="I300" s="1"/>
      <c r="J300" s="1"/>
      <c r="K300" s="1"/>
      <c r="L300" s="1"/>
      <c r="M300" s="1"/>
      <c r="N300" s="1"/>
      <c r="O300" s="1"/>
      <c r="P300" s="1"/>
      <c r="Q300" s="1"/>
      <c r="R300" s="1"/>
    </row>
    <row r="301" spans="2:18">
      <c r="B301" s="1"/>
      <c r="C301" s="1"/>
      <c r="D301" s="1"/>
      <c r="E301" s="1"/>
      <c r="F301" s="1"/>
      <c r="G301" s="1"/>
      <c r="H301" s="1"/>
      <c r="I301" s="1"/>
      <c r="J301" s="1"/>
      <c r="K301" s="1"/>
      <c r="L301" s="1"/>
      <c r="M301" s="1"/>
      <c r="N301" s="1"/>
      <c r="O301" s="1"/>
      <c r="P301" s="1"/>
      <c r="Q301" s="1"/>
      <c r="R301" s="1"/>
    </row>
    <row r="302" spans="2:18">
      <c r="B302" s="1"/>
      <c r="C302" s="1"/>
      <c r="D302" s="1"/>
      <c r="E302" s="1"/>
      <c r="F302" s="1"/>
      <c r="G302" s="1"/>
      <c r="H302" s="1"/>
      <c r="I302" s="1"/>
      <c r="J302" s="1"/>
      <c r="K302" s="1"/>
      <c r="L302" s="1"/>
      <c r="M302" s="1"/>
      <c r="N302" s="1"/>
      <c r="O302" s="1"/>
      <c r="P302" s="1"/>
      <c r="Q302" s="1"/>
      <c r="R302" s="1"/>
    </row>
    <row r="303" spans="2:18">
      <c r="B303" s="1"/>
      <c r="C303" s="1"/>
      <c r="D303" s="1"/>
      <c r="E303" s="1"/>
      <c r="F303" s="1"/>
      <c r="G303" s="1"/>
      <c r="H303" s="1"/>
      <c r="I303" s="1"/>
      <c r="J303" s="1"/>
      <c r="K303" s="1"/>
      <c r="L303" s="1"/>
      <c r="M303" s="1"/>
      <c r="N303" s="1"/>
      <c r="O303" s="1"/>
      <c r="P303" s="1"/>
      <c r="Q303" s="1"/>
      <c r="R303" s="1"/>
    </row>
    <row r="304" spans="2:18">
      <c r="B304" s="1"/>
      <c r="C304" s="1"/>
      <c r="D304" s="1"/>
      <c r="E304" s="1"/>
      <c r="F304" s="1"/>
      <c r="G304" s="1"/>
      <c r="H304" s="1"/>
      <c r="I304" s="1"/>
      <c r="J304" s="1"/>
      <c r="K304" s="1"/>
      <c r="L304" s="1"/>
      <c r="M304" s="1"/>
      <c r="N304" s="1"/>
      <c r="O304" s="1"/>
      <c r="P304" s="1"/>
      <c r="Q304" s="1"/>
      <c r="R304" s="1"/>
    </row>
    <row r="305" spans="2:18">
      <c r="B305" s="1"/>
      <c r="C305" s="1"/>
      <c r="D305" s="1"/>
      <c r="E305" s="1"/>
      <c r="F305" s="1"/>
      <c r="G305" s="1"/>
      <c r="H305" s="1"/>
      <c r="I305" s="1"/>
      <c r="J305" s="1"/>
      <c r="K305" s="1"/>
      <c r="L305" s="1"/>
      <c r="M305" s="1"/>
      <c r="N305" s="1"/>
      <c r="O305" s="1"/>
      <c r="P305" s="1"/>
      <c r="Q305" s="1"/>
      <c r="R305" s="1"/>
    </row>
    <row r="306" spans="2:18">
      <c r="B306" s="1"/>
      <c r="C306" s="1"/>
      <c r="D306" s="1"/>
      <c r="E306" s="1"/>
      <c r="F306" s="1"/>
      <c r="G306" s="1"/>
      <c r="H306" s="1"/>
      <c r="I306" s="1"/>
      <c r="J306" s="1"/>
      <c r="K306" s="1"/>
      <c r="L306" s="1"/>
      <c r="M306" s="1"/>
      <c r="N306" s="1"/>
      <c r="O306" s="1"/>
      <c r="P306" s="1"/>
      <c r="Q306" s="1"/>
      <c r="R306" s="1"/>
    </row>
    <row r="307" spans="2:18">
      <c r="B307" s="1"/>
      <c r="C307" s="1"/>
      <c r="D307" s="1"/>
      <c r="E307" s="1"/>
      <c r="F307" s="1"/>
      <c r="G307" s="1"/>
      <c r="H307" s="1"/>
      <c r="I307" s="1"/>
      <c r="J307" s="1"/>
      <c r="K307" s="1"/>
      <c r="L307" s="1"/>
      <c r="M307" s="1"/>
      <c r="N307" s="1"/>
      <c r="O307" s="1"/>
      <c r="P307" s="1"/>
      <c r="Q307" s="1"/>
      <c r="R307" s="1"/>
    </row>
    <row r="308" spans="2:18">
      <c r="B308" s="1"/>
      <c r="C308" s="1"/>
      <c r="D308" s="1"/>
      <c r="E308" s="1"/>
      <c r="F308" s="1"/>
      <c r="G308" s="1"/>
      <c r="H308" s="1"/>
      <c r="I308" s="1"/>
      <c r="J308" s="1"/>
      <c r="K308" s="1"/>
      <c r="L308" s="1"/>
      <c r="M308" s="1"/>
      <c r="N308" s="1"/>
      <c r="O308" s="1"/>
      <c r="P308" s="1"/>
      <c r="Q308" s="1"/>
      <c r="R308" s="1"/>
    </row>
    <row r="309" spans="2:18">
      <c r="B309" s="1"/>
      <c r="C309" s="1"/>
      <c r="D309" s="1"/>
      <c r="E309" s="1"/>
      <c r="F309" s="1"/>
      <c r="G309" s="1"/>
      <c r="H309" s="1"/>
      <c r="I309" s="1"/>
      <c r="J309" s="1"/>
      <c r="K309" s="1"/>
      <c r="L309" s="1"/>
      <c r="M309" s="1"/>
      <c r="N309" s="1"/>
      <c r="O309" s="1"/>
      <c r="P309" s="1"/>
      <c r="Q309" s="1"/>
      <c r="R309" s="1"/>
    </row>
    <row r="310" spans="2:18">
      <c r="B310" s="1"/>
      <c r="C310" s="1"/>
      <c r="D310" s="1"/>
      <c r="E310" s="1"/>
      <c r="F310" s="1"/>
      <c r="G310" s="1"/>
      <c r="H310" s="1"/>
      <c r="I310" s="1"/>
      <c r="J310" s="1"/>
      <c r="K310" s="1"/>
      <c r="L310" s="1"/>
      <c r="M310" s="1"/>
      <c r="N310" s="1"/>
      <c r="O310" s="1"/>
      <c r="P310" s="1"/>
      <c r="Q310" s="1"/>
      <c r="R310" s="1"/>
    </row>
    <row r="311" spans="2:18">
      <c r="B311" s="1"/>
      <c r="C311" s="1"/>
      <c r="D311" s="1"/>
      <c r="E311" s="1"/>
      <c r="F311" s="1"/>
      <c r="G311" s="1"/>
      <c r="H311" s="1"/>
      <c r="I311" s="1"/>
      <c r="J311" s="1"/>
      <c r="K311" s="1"/>
      <c r="L311" s="1"/>
      <c r="M311" s="1"/>
      <c r="N311" s="1"/>
      <c r="O311" s="1"/>
      <c r="P311" s="1"/>
      <c r="Q311" s="1"/>
      <c r="R311" s="1"/>
    </row>
    <row r="312" spans="2:18">
      <c r="B312" s="1"/>
      <c r="C312" s="1"/>
      <c r="D312" s="1"/>
      <c r="E312" s="1"/>
      <c r="F312" s="1"/>
      <c r="G312" s="1"/>
      <c r="H312" s="1"/>
      <c r="I312" s="1"/>
      <c r="J312" s="1"/>
      <c r="K312" s="1"/>
      <c r="L312" s="1"/>
      <c r="M312" s="1"/>
      <c r="N312" s="1"/>
      <c r="O312" s="1"/>
      <c r="P312" s="1"/>
      <c r="Q312" s="1"/>
      <c r="R312" s="1"/>
    </row>
    <row r="313" spans="2:18">
      <c r="B313" s="1"/>
      <c r="C313" s="1"/>
      <c r="D313" s="1"/>
      <c r="E313" s="1"/>
      <c r="F313" s="1"/>
      <c r="G313" s="1"/>
      <c r="H313" s="1"/>
      <c r="I313" s="1"/>
      <c r="J313" s="1"/>
      <c r="K313" s="1"/>
      <c r="L313" s="1"/>
      <c r="M313" s="1"/>
      <c r="N313" s="1"/>
      <c r="O313" s="1"/>
      <c r="P313" s="1"/>
      <c r="Q313" s="1"/>
      <c r="R313" s="1"/>
    </row>
    <row r="314" spans="2:18">
      <c r="B314" s="1"/>
      <c r="C314" s="1"/>
      <c r="D314" s="1"/>
      <c r="E314" s="1"/>
      <c r="F314" s="1"/>
      <c r="G314" s="1"/>
      <c r="H314" s="1"/>
      <c r="I314" s="1"/>
      <c r="J314" s="1"/>
      <c r="K314" s="1"/>
      <c r="L314" s="1"/>
      <c r="M314" s="1"/>
      <c r="N314" s="1"/>
      <c r="O314" s="1"/>
      <c r="P314" s="1"/>
      <c r="Q314" s="1"/>
      <c r="R314" s="1"/>
    </row>
    <row r="315" spans="2:18">
      <c r="B315" s="1"/>
      <c r="C315" s="1"/>
      <c r="D315" s="1"/>
      <c r="E315" s="1"/>
      <c r="F315" s="1"/>
      <c r="G315" s="1"/>
      <c r="H315" s="1"/>
      <c r="I315" s="1"/>
      <c r="J315" s="1"/>
      <c r="K315" s="1"/>
      <c r="L315" s="1"/>
      <c r="M315" s="1"/>
      <c r="N315" s="1"/>
      <c r="O315" s="1"/>
      <c r="P315" s="1"/>
      <c r="Q315" s="1"/>
      <c r="R315" s="1"/>
    </row>
    <row r="316" spans="2:18">
      <c r="B316" s="1"/>
      <c r="C316" s="1"/>
      <c r="D316" s="1"/>
      <c r="E316" s="1"/>
      <c r="F316" s="1"/>
      <c r="G316" s="1"/>
      <c r="H316" s="1"/>
      <c r="I316" s="1"/>
      <c r="J316" s="1"/>
      <c r="K316" s="1"/>
      <c r="L316" s="1"/>
      <c r="M316" s="1"/>
      <c r="N316" s="1"/>
      <c r="O316" s="1"/>
      <c r="P316" s="1"/>
      <c r="Q316" s="1"/>
      <c r="R316" s="1"/>
    </row>
    <row r="317" spans="2:18">
      <c r="B317" s="1"/>
      <c r="C317" s="1"/>
      <c r="D317" s="1"/>
      <c r="E317" s="1"/>
      <c r="F317" s="1"/>
      <c r="G317" s="1"/>
      <c r="H317" s="1"/>
      <c r="I317" s="1"/>
      <c r="J317" s="1"/>
      <c r="K317" s="1"/>
      <c r="L317" s="1"/>
      <c r="M317" s="1"/>
      <c r="N317" s="1"/>
      <c r="O317" s="1"/>
      <c r="P317" s="1"/>
      <c r="Q317" s="1"/>
      <c r="R317" s="1"/>
    </row>
    <row r="318" spans="2:18">
      <c r="B318" s="1"/>
      <c r="C318" s="1"/>
      <c r="D318" s="1"/>
      <c r="E318" s="1"/>
      <c r="F318" s="1"/>
      <c r="G318" s="1"/>
      <c r="H318" s="1"/>
      <c r="I318" s="1"/>
      <c r="J318" s="1"/>
      <c r="K318" s="1"/>
      <c r="L318" s="1"/>
      <c r="M318" s="1"/>
      <c r="N318" s="1"/>
      <c r="O318" s="1"/>
      <c r="P318" s="1"/>
      <c r="Q318" s="1"/>
      <c r="R318" s="1"/>
    </row>
    <row r="319" spans="2:18">
      <c r="B319" s="1"/>
      <c r="C319" s="1"/>
      <c r="D319" s="1"/>
      <c r="E319" s="1"/>
      <c r="F319" s="1"/>
      <c r="G319" s="1"/>
      <c r="H319" s="1"/>
      <c r="I319" s="1"/>
      <c r="J319" s="1"/>
      <c r="K319" s="1"/>
      <c r="L319" s="1"/>
      <c r="M319" s="1"/>
      <c r="N319" s="1"/>
      <c r="O319" s="1"/>
      <c r="P319" s="1"/>
      <c r="Q319" s="1"/>
      <c r="R319" s="1"/>
    </row>
    <row r="320" spans="2:18">
      <c r="B320" s="1"/>
      <c r="C320" s="1"/>
      <c r="D320" s="1"/>
      <c r="E320" s="1"/>
      <c r="F320" s="1"/>
      <c r="G320" s="1"/>
      <c r="H320" s="1"/>
      <c r="I320" s="1"/>
      <c r="J320" s="1"/>
      <c r="K320" s="1"/>
      <c r="L320" s="1"/>
      <c r="M320" s="1"/>
      <c r="N320" s="1"/>
      <c r="O320" s="1"/>
      <c r="P320" s="1"/>
      <c r="Q320" s="1"/>
      <c r="R320" s="1"/>
    </row>
    <row r="321" spans="2:18">
      <c r="B321" s="1"/>
      <c r="C321" s="1"/>
      <c r="D321" s="1"/>
      <c r="E321" s="1"/>
      <c r="F321" s="1"/>
      <c r="G321" s="1"/>
      <c r="H321" s="1"/>
      <c r="I321" s="1"/>
      <c r="J321" s="1"/>
      <c r="K321" s="1"/>
      <c r="L321" s="1"/>
      <c r="M321" s="1"/>
      <c r="N321" s="1"/>
      <c r="O321" s="1"/>
      <c r="P321" s="1"/>
      <c r="Q321" s="1"/>
      <c r="R321" s="1"/>
    </row>
    <row r="322" spans="2:18">
      <c r="B322" s="1"/>
      <c r="C322" s="1"/>
      <c r="D322" s="1"/>
      <c r="E322" s="1"/>
      <c r="F322" s="1"/>
      <c r="G322" s="1"/>
      <c r="H322" s="1"/>
      <c r="I322" s="1"/>
      <c r="J322" s="1"/>
      <c r="K322" s="1"/>
      <c r="L322" s="1"/>
      <c r="M322" s="1"/>
      <c r="N322" s="1"/>
      <c r="O322" s="1"/>
      <c r="P322" s="1"/>
      <c r="Q322" s="1"/>
      <c r="R322" s="1"/>
    </row>
    <row r="323" spans="2:18">
      <c r="B323" s="1"/>
      <c r="C323" s="1"/>
      <c r="D323" s="1"/>
      <c r="E323" s="1"/>
      <c r="F323" s="1"/>
      <c r="G323" s="1"/>
      <c r="H323" s="1"/>
      <c r="I323" s="1"/>
      <c r="J323" s="1"/>
      <c r="K323" s="1"/>
      <c r="L323" s="1"/>
      <c r="M323" s="1"/>
      <c r="N323" s="1"/>
      <c r="O323" s="1"/>
      <c r="P323" s="1"/>
      <c r="Q323" s="1"/>
      <c r="R323" s="1"/>
    </row>
    <row r="324" spans="2:18">
      <c r="B324" s="1"/>
      <c r="C324" s="1"/>
      <c r="D324" s="1"/>
      <c r="E324" s="1"/>
      <c r="F324" s="1"/>
      <c r="G324" s="1"/>
      <c r="H324" s="1"/>
      <c r="I324" s="1"/>
      <c r="J324" s="1"/>
      <c r="K324" s="1"/>
      <c r="L324" s="1"/>
      <c r="M324" s="1"/>
      <c r="N324" s="1"/>
      <c r="O324" s="1"/>
      <c r="P324" s="1"/>
      <c r="Q324" s="1"/>
      <c r="R324" s="1"/>
    </row>
    <row r="325" spans="2:18">
      <c r="B325" s="1"/>
      <c r="C325" s="1"/>
      <c r="D325" s="1"/>
      <c r="E325" s="1"/>
      <c r="F325" s="1"/>
      <c r="G325" s="1"/>
      <c r="H325" s="1"/>
      <c r="I325" s="1"/>
      <c r="J325" s="1"/>
      <c r="K325" s="1"/>
      <c r="L325" s="1"/>
      <c r="M325" s="1"/>
      <c r="N325" s="1"/>
      <c r="O325" s="1"/>
      <c r="P325" s="1"/>
      <c r="Q325" s="1"/>
      <c r="R325" s="1"/>
    </row>
    <row r="326" spans="2:18">
      <c r="B326" s="1"/>
      <c r="C326" s="1"/>
      <c r="D326" s="1"/>
      <c r="E326" s="1"/>
      <c r="F326" s="1"/>
      <c r="G326" s="1"/>
      <c r="H326" s="1"/>
      <c r="I326" s="1"/>
      <c r="J326" s="1"/>
      <c r="K326" s="1"/>
      <c r="L326" s="1"/>
      <c r="M326" s="1"/>
      <c r="N326" s="1"/>
      <c r="O326" s="1"/>
      <c r="P326" s="1"/>
      <c r="Q326" s="1"/>
      <c r="R326" s="1"/>
    </row>
    <row r="327" spans="2:18">
      <c r="B327" s="1"/>
      <c r="C327" s="1"/>
      <c r="D327" s="1"/>
      <c r="E327" s="1"/>
      <c r="F327" s="1"/>
      <c r="G327" s="1"/>
      <c r="H327" s="1"/>
      <c r="I327" s="1"/>
      <c r="J327" s="1"/>
      <c r="K327" s="1"/>
      <c r="L327" s="1"/>
      <c r="M327" s="1"/>
      <c r="N327" s="1"/>
      <c r="O327" s="1"/>
      <c r="P327" s="1"/>
      <c r="Q327" s="1"/>
      <c r="R327" s="1"/>
    </row>
    <row r="328" spans="2:18">
      <c r="B328" s="1"/>
      <c r="C328" s="1"/>
      <c r="D328" s="1"/>
      <c r="E328" s="1"/>
      <c r="F328" s="1"/>
      <c r="G328" s="1"/>
      <c r="H328" s="1"/>
      <c r="I328" s="1"/>
      <c r="J328" s="1"/>
      <c r="K328" s="1"/>
      <c r="L328" s="1"/>
      <c r="M328" s="1"/>
      <c r="N328" s="1"/>
      <c r="O328" s="1"/>
      <c r="P328" s="1"/>
      <c r="Q328" s="1"/>
      <c r="R328" s="1"/>
    </row>
    <row r="329" spans="2:18">
      <c r="B329" s="1"/>
      <c r="C329" s="1"/>
      <c r="D329" s="1"/>
      <c r="E329" s="1"/>
      <c r="F329" s="1"/>
      <c r="G329" s="1"/>
      <c r="H329" s="1"/>
      <c r="I329" s="1"/>
      <c r="J329" s="1"/>
      <c r="K329" s="1"/>
      <c r="L329" s="1"/>
      <c r="M329" s="1"/>
      <c r="N329" s="1"/>
      <c r="O329" s="1"/>
      <c r="P329" s="1"/>
      <c r="Q329" s="1"/>
      <c r="R329" s="1"/>
    </row>
    <row r="330" spans="2:18">
      <c r="B330" s="1"/>
      <c r="C330" s="1"/>
      <c r="D330" s="1"/>
      <c r="E330" s="1"/>
      <c r="F330" s="1"/>
      <c r="G330" s="1"/>
      <c r="H330" s="1"/>
      <c r="I330" s="1"/>
      <c r="J330" s="1"/>
      <c r="K330" s="1"/>
      <c r="L330" s="1"/>
      <c r="M330" s="1"/>
      <c r="N330" s="1"/>
      <c r="O330" s="1"/>
      <c r="P330" s="1"/>
      <c r="Q330" s="1"/>
      <c r="R330" s="1"/>
    </row>
    <row r="331" spans="2:18">
      <c r="B331" s="1"/>
      <c r="C331" s="1"/>
      <c r="D331" s="1"/>
      <c r="E331" s="1"/>
      <c r="F331" s="1"/>
      <c r="G331" s="1"/>
      <c r="H331" s="1"/>
      <c r="I331" s="1"/>
      <c r="J331" s="1"/>
      <c r="K331" s="1"/>
      <c r="L331" s="1"/>
      <c r="M331" s="1"/>
      <c r="N331" s="1"/>
      <c r="O331" s="1"/>
      <c r="P331" s="1"/>
      <c r="Q331" s="1"/>
      <c r="R331" s="1"/>
    </row>
    <row r="332" spans="2:18">
      <c r="B332" s="1"/>
      <c r="C332" s="1"/>
      <c r="D332" s="1"/>
      <c r="E332" s="1"/>
      <c r="F332" s="1"/>
      <c r="G332" s="1"/>
      <c r="H332" s="1"/>
      <c r="I332" s="1"/>
      <c r="J332" s="1"/>
      <c r="K332" s="1"/>
      <c r="L332" s="1"/>
      <c r="M332" s="1"/>
      <c r="N332" s="1"/>
      <c r="O332" s="1"/>
      <c r="P332" s="1"/>
      <c r="Q332" s="1"/>
      <c r="R332" s="1"/>
    </row>
    <row r="333" spans="2:18">
      <c r="B333" s="1"/>
      <c r="C333" s="1"/>
      <c r="D333" s="1"/>
      <c r="E333" s="1"/>
      <c r="F333" s="1"/>
      <c r="G333" s="1"/>
      <c r="H333" s="1"/>
      <c r="I333" s="1"/>
      <c r="J333" s="1"/>
      <c r="K333" s="1"/>
      <c r="L333" s="1"/>
      <c r="M333" s="1"/>
      <c r="N333" s="1"/>
      <c r="O333" s="1"/>
      <c r="P333" s="1"/>
      <c r="Q333" s="1"/>
      <c r="R333" s="1"/>
    </row>
    <row r="334" spans="2:18">
      <c r="B334" s="1"/>
      <c r="C334" s="1"/>
      <c r="D334" s="1"/>
      <c r="E334" s="1"/>
      <c r="F334" s="1"/>
      <c r="G334" s="1"/>
      <c r="H334" s="1"/>
      <c r="I334" s="1"/>
      <c r="J334" s="1"/>
      <c r="K334" s="1"/>
      <c r="L334" s="1"/>
      <c r="M334" s="1"/>
      <c r="N334" s="1"/>
      <c r="O334" s="1"/>
      <c r="P334" s="1"/>
      <c r="Q334" s="1"/>
      <c r="R334" s="1"/>
    </row>
    <row r="335" spans="2:18">
      <c r="B335" s="1"/>
      <c r="C335" s="1"/>
      <c r="D335" s="1"/>
      <c r="E335" s="1"/>
      <c r="F335" s="1"/>
      <c r="G335" s="1"/>
      <c r="H335" s="1"/>
      <c r="I335" s="1"/>
      <c r="J335" s="1"/>
      <c r="K335" s="1"/>
      <c r="L335" s="1"/>
      <c r="M335" s="1"/>
      <c r="N335" s="1"/>
      <c r="O335" s="1"/>
      <c r="P335" s="1"/>
      <c r="Q335" s="1"/>
      <c r="R335" s="1"/>
    </row>
    <row r="336" spans="2:18">
      <c r="B336" s="1"/>
      <c r="C336" s="1"/>
      <c r="D336" s="1"/>
      <c r="E336" s="1"/>
      <c r="F336" s="1"/>
      <c r="G336" s="1"/>
      <c r="H336" s="1"/>
      <c r="I336" s="1"/>
      <c r="J336" s="1"/>
      <c r="K336" s="1"/>
      <c r="L336" s="1"/>
      <c r="M336" s="1"/>
      <c r="N336" s="1"/>
      <c r="O336" s="1"/>
      <c r="P336" s="1"/>
      <c r="Q336" s="1"/>
      <c r="R336" s="1"/>
    </row>
    <row r="337" spans="2:18">
      <c r="B337" s="1"/>
      <c r="C337" s="1"/>
      <c r="D337" s="1"/>
      <c r="E337" s="1"/>
      <c r="F337" s="1"/>
      <c r="G337" s="1"/>
      <c r="H337" s="1"/>
      <c r="I337" s="1"/>
      <c r="J337" s="1"/>
      <c r="K337" s="1"/>
      <c r="L337" s="1"/>
      <c r="M337" s="1"/>
      <c r="N337" s="1"/>
      <c r="O337" s="1"/>
      <c r="P337" s="1"/>
      <c r="Q337" s="1"/>
      <c r="R337" s="1"/>
    </row>
    <row r="338" spans="2:18">
      <c r="B338" s="1"/>
      <c r="C338" s="1"/>
      <c r="D338" s="1"/>
      <c r="E338" s="1"/>
      <c r="F338" s="1"/>
      <c r="G338" s="1"/>
      <c r="H338" s="1"/>
      <c r="I338" s="1"/>
      <c r="J338" s="1"/>
      <c r="K338" s="1"/>
      <c r="L338" s="1"/>
      <c r="M338" s="1"/>
      <c r="N338" s="1"/>
      <c r="O338" s="1"/>
      <c r="P338" s="1"/>
      <c r="Q338" s="1"/>
      <c r="R338" s="1"/>
    </row>
    <row r="339" spans="2:18">
      <c r="B339" s="1"/>
      <c r="C339" s="1"/>
      <c r="D339" s="1"/>
      <c r="E339" s="1"/>
      <c r="F339" s="1"/>
      <c r="G339" s="1"/>
      <c r="H339" s="1"/>
      <c r="I339" s="1"/>
      <c r="J339" s="1"/>
      <c r="K339" s="1"/>
      <c r="L339" s="1"/>
      <c r="M339" s="1"/>
      <c r="N339" s="1"/>
      <c r="O339" s="1"/>
      <c r="P339" s="1"/>
      <c r="Q339" s="1"/>
      <c r="R339" s="1"/>
    </row>
    <row r="340" spans="2:18">
      <c r="B340" s="1"/>
      <c r="C340" s="1"/>
      <c r="D340" s="1"/>
      <c r="E340" s="1"/>
      <c r="F340" s="1"/>
      <c r="G340" s="1"/>
      <c r="H340" s="1"/>
      <c r="I340" s="1"/>
      <c r="J340" s="1"/>
      <c r="K340" s="1"/>
      <c r="L340" s="1"/>
      <c r="M340" s="1"/>
      <c r="N340" s="1"/>
      <c r="O340" s="1"/>
      <c r="P340" s="1"/>
      <c r="Q340" s="1"/>
      <c r="R340" s="1"/>
    </row>
    <row r="341" spans="2:18">
      <c r="B341" s="1"/>
      <c r="C341" s="1"/>
      <c r="D341" s="1"/>
      <c r="E341" s="1"/>
      <c r="F341" s="1"/>
      <c r="G341" s="1"/>
      <c r="H341" s="1"/>
      <c r="I341" s="1"/>
      <c r="J341" s="1"/>
      <c r="K341" s="1"/>
      <c r="L341" s="1"/>
      <c r="M341" s="1"/>
      <c r="N341" s="1"/>
      <c r="O341" s="1"/>
      <c r="P341" s="1"/>
      <c r="Q341" s="1"/>
      <c r="R341" s="1"/>
    </row>
    <row r="342" spans="2:18">
      <c r="B342" s="1"/>
      <c r="C342" s="1"/>
      <c r="D342" s="1"/>
      <c r="E342" s="1"/>
      <c r="F342" s="1"/>
      <c r="G342" s="1"/>
      <c r="H342" s="1"/>
      <c r="I342" s="1"/>
      <c r="J342" s="1"/>
      <c r="K342" s="1"/>
      <c r="L342" s="1"/>
      <c r="M342" s="1"/>
      <c r="N342" s="1"/>
      <c r="O342" s="1"/>
      <c r="P342" s="1"/>
      <c r="Q342" s="1"/>
      <c r="R342" s="1"/>
    </row>
    <row r="343" spans="2:18">
      <c r="B343" s="1"/>
      <c r="C343" s="1"/>
      <c r="D343" s="1"/>
      <c r="E343" s="1"/>
      <c r="F343" s="1"/>
      <c r="G343" s="1"/>
      <c r="H343" s="1"/>
      <c r="I343" s="1"/>
      <c r="J343" s="1"/>
      <c r="K343" s="1"/>
      <c r="L343" s="1"/>
      <c r="M343" s="1"/>
      <c r="N343" s="1"/>
      <c r="O343" s="1"/>
      <c r="P343" s="1"/>
      <c r="Q343" s="1"/>
      <c r="R343" s="1"/>
    </row>
    <row r="344" spans="2:18">
      <c r="B344" s="1"/>
      <c r="C344" s="1"/>
      <c r="D344" s="1"/>
      <c r="E344" s="1"/>
      <c r="F344" s="1"/>
      <c r="G344" s="1"/>
      <c r="H344" s="1"/>
      <c r="I344" s="1"/>
      <c r="J344" s="1"/>
      <c r="K344" s="1"/>
      <c r="L344" s="1"/>
      <c r="M344" s="1"/>
      <c r="N344" s="1"/>
      <c r="O344" s="1"/>
      <c r="P344" s="1"/>
      <c r="Q344" s="1"/>
      <c r="R344" s="1"/>
    </row>
    <row r="345" spans="2:18">
      <c r="B345" s="1"/>
      <c r="C345" s="1"/>
      <c r="D345" s="1"/>
      <c r="E345" s="1"/>
      <c r="F345" s="1"/>
      <c r="G345" s="1"/>
      <c r="H345" s="1"/>
      <c r="I345" s="1"/>
      <c r="J345" s="1"/>
      <c r="K345" s="1"/>
      <c r="L345" s="1"/>
      <c r="M345" s="1"/>
      <c r="N345" s="1"/>
      <c r="O345" s="1"/>
      <c r="P345" s="1"/>
      <c r="Q345" s="1"/>
      <c r="R345" s="1"/>
    </row>
    <row r="346" spans="2:18">
      <c r="B346" s="1"/>
      <c r="C346" s="1"/>
      <c r="D346" s="1"/>
      <c r="E346" s="1"/>
      <c r="F346" s="1"/>
      <c r="G346" s="1"/>
      <c r="H346" s="1"/>
      <c r="I346" s="1"/>
      <c r="J346" s="1"/>
      <c r="K346" s="1"/>
      <c r="L346" s="1"/>
      <c r="M346" s="1"/>
      <c r="N346" s="1"/>
      <c r="O346" s="1"/>
      <c r="P346" s="1"/>
      <c r="Q346" s="1"/>
      <c r="R346" s="1"/>
    </row>
    <row r="347" spans="2:18">
      <c r="B347" s="1"/>
      <c r="C347" s="1"/>
      <c r="D347" s="1"/>
      <c r="E347" s="1"/>
      <c r="F347" s="1"/>
      <c r="G347" s="1"/>
      <c r="H347" s="1"/>
      <c r="I347" s="1"/>
      <c r="J347" s="1"/>
      <c r="K347" s="1"/>
      <c r="L347" s="1"/>
      <c r="M347" s="1"/>
      <c r="N347" s="1"/>
      <c r="O347" s="1"/>
      <c r="P347" s="1"/>
      <c r="Q347" s="1"/>
      <c r="R347" s="1"/>
    </row>
    <row r="348" spans="2:18">
      <c r="B348" s="1"/>
      <c r="C348" s="1"/>
      <c r="D348" s="1"/>
      <c r="E348" s="1"/>
      <c r="F348" s="1"/>
      <c r="G348" s="1"/>
      <c r="H348" s="1"/>
      <c r="I348" s="1"/>
      <c r="J348" s="1"/>
      <c r="K348" s="1"/>
      <c r="L348" s="1"/>
      <c r="M348" s="1"/>
      <c r="N348" s="1"/>
      <c r="O348" s="1"/>
      <c r="P348" s="1"/>
      <c r="Q348" s="1"/>
      <c r="R348" s="1"/>
    </row>
    <row r="349" spans="2:18">
      <c r="B349" s="1"/>
      <c r="C349" s="1"/>
      <c r="D349" s="1"/>
      <c r="E349" s="1"/>
      <c r="F349" s="1"/>
      <c r="G349" s="1"/>
      <c r="H349" s="1"/>
      <c r="I349" s="1"/>
      <c r="J349" s="1"/>
      <c r="K349" s="1"/>
      <c r="L349" s="1"/>
      <c r="M349" s="1"/>
      <c r="N349" s="1"/>
      <c r="O349" s="1"/>
      <c r="P349" s="1"/>
      <c r="Q349" s="1"/>
      <c r="R349" s="1"/>
    </row>
    <row r="350" spans="2:18">
      <c r="B350" s="1"/>
      <c r="C350" s="1"/>
      <c r="D350" s="1"/>
      <c r="E350" s="1"/>
      <c r="F350" s="1"/>
      <c r="G350" s="1"/>
      <c r="H350" s="1"/>
      <c r="I350" s="1"/>
      <c r="J350" s="1"/>
      <c r="K350" s="1"/>
      <c r="L350" s="1"/>
      <c r="M350" s="1"/>
      <c r="N350" s="1"/>
      <c r="O350" s="1"/>
      <c r="P350" s="1"/>
      <c r="Q350" s="1"/>
      <c r="R350" s="1"/>
    </row>
    <row r="351" spans="2:18">
      <c r="B351" s="1"/>
      <c r="C351" s="1"/>
      <c r="D351" s="1"/>
      <c r="E351" s="1"/>
      <c r="F351" s="1"/>
      <c r="G351" s="1"/>
      <c r="H351" s="1"/>
      <c r="I351" s="1"/>
      <c r="J351" s="1"/>
      <c r="K351" s="1"/>
      <c r="L351" s="1"/>
      <c r="M351" s="1"/>
      <c r="N351" s="1"/>
      <c r="O351" s="1"/>
      <c r="P351" s="1"/>
      <c r="Q351" s="1"/>
      <c r="R351" s="1"/>
    </row>
    <row r="352" spans="2:18">
      <c r="B352" s="1"/>
      <c r="C352" s="1"/>
      <c r="D352" s="1"/>
      <c r="E352" s="1"/>
      <c r="F352" s="1"/>
      <c r="G352" s="1"/>
      <c r="H352" s="1"/>
      <c r="I352" s="1"/>
      <c r="J352" s="1"/>
      <c r="K352" s="1"/>
      <c r="L352" s="1"/>
      <c r="M352" s="1"/>
      <c r="N352" s="1"/>
      <c r="O352" s="1"/>
      <c r="P352" s="1"/>
      <c r="Q352" s="1"/>
      <c r="R352" s="1"/>
    </row>
    <row r="353" spans="2:18">
      <c r="B353" s="1"/>
      <c r="C353" s="1"/>
      <c r="D353" s="1"/>
      <c r="E353" s="1"/>
      <c r="F353" s="1"/>
      <c r="G353" s="1"/>
      <c r="H353" s="1"/>
      <c r="I353" s="1"/>
      <c r="J353" s="1"/>
      <c r="K353" s="1"/>
      <c r="L353" s="1"/>
      <c r="M353" s="1"/>
      <c r="N353" s="1"/>
      <c r="O353" s="1"/>
      <c r="P353" s="1"/>
      <c r="Q353" s="1"/>
      <c r="R353" s="1"/>
    </row>
    <row r="354" spans="2:18">
      <c r="B354" s="1"/>
      <c r="C354" s="1"/>
      <c r="D354" s="1"/>
      <c r="E354" s="1"/>
      <c r="F354" s="1"/>
      <c r="G354" s="1"/>
      <c r="H354" s="1"/>
      <c r="I354" s="1"/>
      <c r="J354" s="1"/>
      <c r="K354" s="1"/>
      <c r="L354" s="1"/>
      <c r="M354" s="1"/>
      <c r="N354" s="1"/>
      <c r="O354" s="1"/>
      <c r="P354" s="1"/>
      <c r="Q354" s="1"/>
      <c r="R354" s="1"/>
    </row>
    <row r="355" spans="2:18">
      <c r="B355" s="1"/>
      <c r="C355" s="1"/>
      <c r="D355" s="1"/>
      <c r="E355" s="1"/>
      <c r="F355" s="1"/>
      <c r="G355" s="1"/>
      <c r="H355" s="1"/>
      <c r="I355" s="1"/>
      <c r="J355" s="1"/>
      <c r="K355" s="1"/>
      <c r="L355" s="1"/>
      <c r="M355" s="1"/>
      <c r="N355" s="1"/>
      <c r="O355" s="1"/>
      <c r="P355" s="1"/>
      <c r="Q355" s="1"/>
      <c r="R355" s="1"/>
    </row>
    <row r="356" spans="2:18">
      <c r="B356" s="1"/>
      <c r="C356" s="1"/>
      <c r="D356" s="1"/>
      <c r="E356" s="1"/>
      <c r="F356" s="1"/>
      <c r="G356" s="1"/>
      <c r="H356" s="1"/>
      <c r="I356" s="1"/>
      <c r="J356" s="1"/>
      <c r="K356" s="1"/>
      <c r="L356" s="1"/>
      <c r="M356" s="1"/>
      <c r="N356" s="1"/>
      <c r="O356" s="1"/>
      <c r="P356" s="1"/>
      <c r="Q356" s="1"/>
      <c r="R356" s="1"/>
    </row>
    <row r="357" spans="2:18">
      <c r="B357" s="1"/>
      <c r="C357" s="1"/>
      <c r="D357" s="1"/>
      <c r="E357" s="1"/>
      <c r="F357" s="1"/>
      <c r="G357" s="1"/>
      <c r="H357" s="1"/>
      <c r="I357" s="1"/>
      <c r="J357" s="1"/>
      <c r="K357" s="1"/>
      <c r="L357" s="1"/>
      <c r="M357" s="1"/>
      <c r="N357" s="1"/>
      <c r="O357" s="1"/>
      <c r="P357" s="1"/>
      <c r="Q357" s="1"/>
      <c r="R357" s="1"/>
    </row>
    <row r="358" spans="2:18">
      <c r="B358" s="1"/>
      <c r="C358" s="1"/>
      <c r="D358" s="1"/>
      <c r="E358" s="1"/>
      <c r="F358" s="1"/>
      <c r="G358" s="1"/>
      <c r="H358" s="1"/>
      <c r="I358" s="1"/>
      <c r="J358" s="1"/>
      <c r="K358" s="1"/>
      <c r="L358" s="1"/>
      <c r="M358" s="1"/>
      <c r="N358" s="1"/>
      <c r="O358" s="1"/>
      <c r="P358" s="1"/>
      <c r="Q358" s="1"/>
      <c r="R358" s="1"/>
    </row>
    <row r="359" spans="2:18">
      <c r="B359" s="1"/>
      <c r="C359" s="1"/>
      <c r="D359" s="1"/>
      <c r="E359" s="1"/>
      <c r="F359" s="1"/>
      <c r="G359" s="1"/>
      <c r="H359" s="1"/>
      <c r="I359" s="1"/>
      <c r="J359" s="1"/>
      <c r="K359" s="1"/>
      <c r="L359" s="1"/>
      <c r="M359" s="1"/>
      <c r="N359" s="1"/>
      <c r="O359" s="1"/>
      <c r="P359" s="1"/>
      <c r="Q359" s="1"/>
      <c r="R359" s="1"/>
    </row>
    <row r="360" spans="2:18">
      <c r="B360" s="1"/>
      <c r="C360" s="1"/>
      <c r="D360" s="1"/>
      <c r="E360" s="1"/>
      <c r="F360" s="1"/>
      <c r="G360" s="1"/>
      <c r="H360" s="1"/>
      <c r="I360" s="1"/>
      <c r="J360" s="1"/>
      <c r="K360" s="1"/>
      <c r="L360" s="1"/>
      <c r="M360" s="1"/>
      <c r="N360" s="1"/>
      <c r="O360" s="1"/>
      <c r="P360" s="1"/>
      <c r="Q360" s="1"/>
      <c r="R360" s="1"/>
    </row>
    <row r="361" spans="2:18">
      <c r="B361" s="1"/>
      <c r="C361" s="1"/>
      <c r="D361" s="1"/>
      <c r="E361" s="1"/>
      <c r="F361" s="1"/>
      <c r="G361" s="1"/>
      <c r="H361" s="1"/>
      <c r="I361" s="1"/>
      <c r="J361" s="1"/>
      <c r="K361" s="1"/>
      <c r="L361" s="1"/>
      <c r="M361" s="1"/>
      <c r="N361" s="1"/>
      <c r="O361" s="1"/>
      <c r="P361" s="1"/>
      <c r="Q361" s="1"/>
      <c r="R361" s="1"/>
    </row>
    <row r="362" spans="2:18">
      <c r="B362" s="1"/>
      <c r="C362" s="1"/>
      <c r="D362" s="1"/>
      <c r="E362" s="1"/>
      <c r="F362" s="1"/>
      <c r="G362" s="1"/>
      <c r="H362" s="1"/>
      <c r="I362" s="1"/>
      <c r="J362" s="1"/>
      <c r="K362" s="1"/>
      <c r="L362" s="1"/>
      <c r="M362" s="1"/>
      <c r="N362" s="1"/>
      <c r="O362" s="1"/>
      <c r="P362" s="1"/>
      <c r="Q362" s="1"/>
      <c r="R362" s="1"/>
    </row>
    <row r="363" spans="2:18">
      <c r="B363" s="1"/>
      <c r="C363" s="1"/>
      <c r="D363" s="1"/>
      <c r="E363" s="1"/>
      <c r="F363" s="1"/>
      <c r="G363" s="1"/>
      <c r="H363" s="1"/>
      <c r="I363" s="1"/>
      <c r="J363" s="1"/>
      <c r="K363" s="1"/>
      <c r="L363" s="1"/>
      <c r="M363" s="1"/>
      <c r="N363" s="1"/>
      <c r="O363" s="1"/>
      <c r="P363" s="1"/>
      <c r="Q363" s="1"/>
      <c r="R363" s="1"/>
    </row>
    <row r="364" spans="2:18">
      <c r="B364" s="1"/>
      <c r="C364" s="1"/>
      <c r="D364" s="1"/>
      <c r="E364" s="1"/>
      <c r="F364" s="1"/>
      <c r="G364" s="1"/>
      <c r="H364" s="1"/>
      <c r="I364" s="1"/>
      <c r="J364" s="1"/>
      <c r="K364" s="1"/>
      <c r="L364" s="1"/>
      <c r="M364" s="1"/>
      <c r="N364" s="1"/>
      <c r="O364" s="1"/>
      <c r="P364" s="1"/>
      <c r="Q364" s="1"/>
      <c r="R364" s="1"/>
    </row>
    <row r="365" spans="2:18">
      <c r="B365" s="1"/>
      <c r="C365" s="1"/>
      <c r="D365" s="1"/>
      <c r="E365" s="1"/>
      <c r="F365" s="1"/>
      <c r="G365" s="1"/>
      <c r="H365" s="1"/>
      <c r="I365" s="1"/>
      <c r="J365" s="1"/>
      <c r="K365" s="1"/>
      <c r="L365" s="1"/>
      <c r="M365" s="1"/>
      <c r="N365" s="1"/>
      <c r="O365" s="1"/>
      <c r="P365" s="1"/>
      <c r="Q365" s="1"/>
      <c r="R365" s="1"/>
    </row>
    <row r="366" spans="2:18">
      <c r="B366" s="1"/>
      <c r="C366" s="1"/>
      <c r="D366" s="1"/>
      <c r="E366" s="1"/>
      <c r="F366" s="1"/>
      <c r="G366" s="1"/>
      <c r="H366" s="1"/>
      <c r="I366" s="1"/>
      <c r="J366" s="1"/>
      <c r="K366" s="1"/>
      <c r="L366" s="1"/>
      <c r="M366" s="1"/>
      <c r="N366" s="1"/>
      <c r="O366" s="1"/>
      <c r="P366" s="1"/>
      <c r="Q366" s="1"/>
      <c r="R366" s="1"/>
    </row>
    <row r="367" spans="2:18">
      <c r="B367" s="1"/>
      <c r="C367" s="1"/>
      <c r="D367" s="1"/>
      <c r="E367" s="1"/>
      <c r="F367" s="1"/>
      <c r="G367" s="1"/>
      <c r="H367" s="1"/>
      <c r="I367" s="1"/>
      <c r="J367" s="1"/>
      <c r="K367" s="1"/>
      <c r="L367" s="1"/>
      <c r="M367" s="1"/>
      <c r="N367" s="1"/>
      <c r="O367" s="1"/>
      <c r="P367" s="1"/>
      <c r="Q367" s="1"/>
      <c r="R367" s="1"/>
    </row>
    <row r="368" spans="2:18">
      <c r="B368" s="1"/>
      <c r="C368" s="1"/>
      <c r="D368" s="1"/>
      <c r="E368" s="1"/>
      <c r="F368" s="1"/>
      <c r="G368" s="1"/>
      <c r="H368" s="1"/>
      <c r="I368" s="1"/>
      <c r="J368" s="1"/>
      <c r="K368" s="1"/>
      <c r="L368" s="1"/>
      <c r="M368" s="1"/>
      <c r="N368" s="1"/>
      <c r="O368" s="1"/>
      <c r="P368" s="1"/>
      <c r="Q368" s="1"/>
      <c r="R368" s="1"/>
    </row>
    <row r="369" spans="2:18">
      <c r="B369" s="1"/>
      <c r="C369" s="1"/>
      <c r="D369" s="1"/>
      <c r="E369" s="1"/>
      <c r="F369" s="1"/>
      <c r="G369" s="1"/>
      <c r="H369" s="1"/>
      <c r="I369" s="1"/>
      <c r="J369" s="1"/>
      <c r="K369" s="1"/>
      <c r="L369" s="1"/>
      <c r="M369" s="1"/>
      <c r="N369" s="1"/>
      <c r="O369" s="1"/>
      <c r="P369" s="1"/>
      <c r="Q369" s="1"/>
      <c r="R369" s="1"/>
    </row>
    <row r="370" spans="2:18">
      <c r="B370" s="1"/>
      <c r="C370" s="1"/>
      <c r="D370" s="1"/>
      <c r="E370" s="1"/>
      <c r="F370" s="1"/>
      <c r="G370" s="1"/>
      <c r="H370" s="1"/>
      <c r="I370" s="1"/>
      <c r="J370" s="1"/>
      <c r="K370" s="1"/>
      <c r="L370" s="1"/>
      <c r="M370" s="1"/>
      <c r="N370" s="1"/>
      <c r="O370" s="1"/>
      <c r="P370" s="1"/>
      <c r="Q370" s="1"/>
      <c r="R370" s="1"/>
    </row>
    <row r="371" spans="2:18">
      <c r="B371" s="1"/>
      <c r="C371" s="1"/>
      <c r="D371" s="1"/>
      <c r="E371" s="1"/>
      <c r="F371" s="1"/>
      <c r="G371" s="1"/>
      <c r="H371" s="1"/>
      <c r="I371" s="1"/>
      <c r="J371" s="1"/>
      <c r="K371" s="1"/>
      <c r="L371" s="1"/>
      <c r="M371" s="1"/>
      <c r="N371" s="1"/>
      <c r="O371" s="1"/>
      <c r="P371" s="1"/>
      <c r="Q371" s="1"/>
      <c r="R371" s="1"/>
    </row>
    <row r="372" spans="2:18">
      <c r="B372" s="1"/>
      <c r="C372" s="1"/>
      <c r="D372" s="1"/>
      <c r="E372" s="1"/>
      <c r="F372" s="1"/>
      <c r="G372" s="1"/>
      <c r="H372" s="1"/>
      <c r="I372" s="1"/>
      <c r="J372" s="1"/>
      <c r="K372" s="1"/>
      <c r="L372" s="1"/>
      <c r="M372" s="1"/>
      <c r="N372" s="1"/>
      <c r="O372" s="1"/>
      <c r="P372" s="1"/>
      <c r="Q372" s="1"/>
      <c r="R372" s="1"/>
    </row>
    <row r="373" spans="2:18">
      <c r="B373" s="1"/>
      <c r="C373" s="1"/>
      <c r="D373" s="1"/>
      <c r="E373" s="1"/>
      <c r="F373" s="1"/>
      <c r="G373" s="1"/>
      <c r="H373" s="1"/>
      <c r="I373" s="1"/>
      <c r="J373" s="1"/>
      <c r="K373" s="1"/>
      <c r="L373" s="1"/>
      <c r="M373" s="1"/>
      <c r="N373" s="1"/>
      <c r="O373" s="1"/>
      <c r="P373" s="1"/>
      <c r="Q373" s="1"/>
      <c r="R373" s="1"/>
    </row>
    <row r="374" spans="2:18">
      <c r="B374" s="1"/>
      <c r="C374" s="1"/>
      <c r="D374" s="1"/>
      <c r="E374" s="1"/>
      <c r="F374" s="1"/>
      <c r="G374" s="1"/>
      <c r="H374" s="1"/>
      <c r="I374" s="1"/>
      <c r="J374" s="1"/>
      <c r="K374" s="1"/>
      <c r="L374" s="1"/>
      <c r="M374" s="1"/>
      <c r="N374" s="1"/>
      <c r="O374" s="1"/>
      <c r="P374" s="1"/>
      <c r="Q374" s="1"/>
      <c r="R374" s="1"/>
    </row>
    <row r="375" spans="2:18">
      <c r="B375" s="1"/>
      <c r="C375" s="1"/>
      <c r="D375" s="1"/>
      <c r="E375" s="1"/>
      <c r="F375" s="1"/>
      <c r="G375" s="1"/>
      <c r="H375" s="1"/>
      <c r="I375" s="1"/>
      <c r="J375" s="1"/>
      <c r="K375" s="1"/>
      <c r="L375" s="1"/>
      <c r="M375" s="1"/>
      <c r="N375" s="1"/>
      <c r="O375" s="1"/>
      <c r="P375" s="1"/>
      <c r="Q375" s="1"/>
      <c r="R375" s="1"/>
    </row>
    <row r="376" spans="2:18">
      <c r="B376" s="1"/>
      <c r="C376" s="1"/>
      <c r="D376" s="1"/>
      <c r="E376" s="1"/>
      <c r="F376" s="1"/>
      <c r="G376" s="1"/>
      <c r="H376" s="1"/>
      <c r="I376" s="1"/>
      <c r="J376" s="1"/>
      <c r="K376" s="1"/>
      <c r="L376" s="1"/>
      <c r="M376" s="1"/>
      <c r="N376" s="1"/>
      <c r="O376" s="1"/>
      <c r="P376" s="1"/>
      <c r="Q376" s="1"/>
      <c r="R376" s="1"/>
    </row>
    <row r="377" spans="2:18">
      <c r="B377" s="1"/>
      <c r="C377" s="1"/>
      <c r="D377" s="1"/>
      <c r="E377" s="1"/>
      <c r="F377" s="1"/>
      <c r="G377" s="1"/>
      <c r="H377" s="1"/>
      <c r="I377" s="1"/>
      <c r="J377" s="1"/>
      <c r="K377" s="1"/>
      <c r="L377" s="1"/>
      <c r="M377" s="1"/>
      <c r="N377" s="1"/>
      <c r="O377" s="1"/>
      <c r="P377" s="1"/>
      <c r="Q377" s="1"/>
      <c r="R377" s="1"/>
    </row>
    <row r="378" spans="2:18">
      <c r="B378" s="1"/>
      <c r="C378" s="1"/>
      <c r="D378" s="1"/>
      <c r="E378" s="1"/>
      <c r="F378" s="1"/>
      <c r="G378" s="1"/>
      <c r="H378" s="1"/>
      <c r="I378" s="1"/>
      <c r="J378" s="1"/>
      <c r="K378" s="1"/>
      <c r="L378" s="1"/>
      <c r="M378" s="1"/>
      <c r="N378" s="1"/>
      <c r="O378" s="1"/>
      <c r="P378" s="1"/>
      <c r="Q378" s="1"/>
      <c r="R378" s="1"/>
    </row>
    <row r="379" spans="2:18">
      <c r="B379" s="1"/>
      <c r="C379" s="1"/>
      <c r="D379" s="1"/>
      <c r="E379" s="1"/>
      <c r="F379" s="1"/>
      <c r="G379" s="1"/>
      <c r="H379" s="1"/>
      <c r="I379" s="1"/>
      <c r="J379" s="1"/>
      <c r="K379" s="1"/>
      <c r="L379" s="1"/>
      <c r="M379" s="1"/>
      <c r="N379" s="1"/>
      <c r="O379" s="1"/>
      <c r="P379" s="1"/>
      <c r="Q379" s="1"/>
      <c r="R379" s="1"/>
    </row>
    <row r="380" spans="2:18">
      <c r="B380" s="1"/>
      <c r="C380" s="1"/>
      <c r="D380" s="1"/>
      <c r="E380" s="1"/>
      <c r="F380" s="1"/>
      <c r="G380" s="1"/>
      <c r="H380" s="1"/>
      <c r="I380" s="1"/>
      <c r="J380" s="1"/>
      <c r="K380" s="1"/>
      <c r="L380" s="1"/>
      <c r="M380" s="1"/>
      <c r="N380" s="1"/>
      <c r="O380" s="1"/>
      <c r="P380" s="1"/>
      <c r="Q380" s="1"/>
      <c r="R380" s="1"/>
    </row>
    <row r="381" spans="2:18">
      <c r="B381" s="1"/>
      <c r="C381" s="1"/>
      <c r="D381" s="1"/>
      <c r="E381" s="1"/>
      <c r="F381" s="1"/>
      <c r="G381" s="1"/>
      <c r="H381" s="1"/>
      <c r="I381" s="1"/>
      <c r="J381" s="1"/>
      <c r="K381" s="1"/>
      <c r="L381" s="1"/>
      <c r="M381" s="1"/>
      <c r="N381" s="1"/>
      <c r="O381" s="1"/>
      <c r="P381" s="1"/>
      <c r="Q381" s="1"/>
      <c r="R381" s="1"/>
    </row>
    <row r="382" spans="2:18">
      <c r="B382" s="1"/>
      <c r="C382" s="1"/>
      <c r="D382" s="1"/>
      <c r="E382" s="1"/>
      <c r="F382" s="1"/>
      <c r="G382" s="1"/>
      <c r="H382" s="1"/>
      <c r="I382" s="1"/>
      <c r="J382" s="1"/>
      <c r="K382" s="1"/>
      <c r="L382" s="1"/>
      <c r="M382" s="1"/>
      <c r="N382" s="1"/>
      <c r="O382" s="1"/>
      <c r="P382" s="1"/>
      <c r="Q382" s="1"/>
      <c r="R382" s="1"/>
    </row>
    <row r="383" spans="2:18">
      <c r="B383" s="1"/>
      <c r="C383" s="1"/>
      <c r="D383" s="1"/>
      <c r="E383" s="1"/>
      <c r="F383" s="1"/>
      <c r="G383" s="1"/>
      <c r="H383" s="1"/>
      <c r="I383" s="1"/>
      <c r="J383" s="1"/>
      <c r="K383" s="1"/>
      <c r="L383" s="1"/>
      <c r="M383" s="1"/>
      <c r="N383" s="1"/>
      <c r="O383" s="1"/>
      <c r="P383" s="1"/>
      <c r="Q383" s="1"/>
      <c r="R383" s="1"/>
    </row>
    <row r="384" spans="2:18">
      <c r="B384" s="1"/>
      <c r="C384" s="1"/>
      <c r="D384" s="1"/>
      <c r="E384" s="1"/>
      <c r="F384" s="1"/>
      <c r="G384" s="1"/>
      <c r="H384" s="1"/>
      <c r="I384" s="1"/>
      <c r="J384" s="1"/>
      <c r="K384" s="1"/>
      <c r="L384" s="1"/>
      <c r="M384" s="1"/>
      <c r="N384" s="1"/>
      <c r="O384" s="1"/>
      <c r="P384" s="1"/>
      <c r="Q384" s="1"/>
      <c r="R384" s="1"/>
    </row>
    <row r="385" spans="2:18">
      <c r="B385" s="1"/>
      <c r="C385" s="1"/>
      <c r="D385" s="1"/>
      <c r="E385" s="1"/>
      <c r="F385" s="1"/>
      <c r="G385" s="1"/>
      <c r="H385" s="1"/>
      <c r="I385" s="1"/>
      <c r="J385" s="1"/>
      <c r="K385" s="1"/>
      <c r="L385" s="1"/>
      <c r="M385" s="1"/>
      <c r="N385" s="1"/>
      <c r="O385" s="1"/>
      <c r="P385" s="1"/>
      <c r="Q385" s="1"/>
      <c r="R385" s="1"/>
    </row>
    <row r="386" spans="2:18">
      <c r="B386" s="1"/>
      <c r="C386" s="1"/>
      <c r="D386" s="1"/>
      <c r="E386" s="1"/>
      <c r="F386" s="1"/>
      <c r="G386" s="1"/>
      <c r="H386" s="1"/>
      <c r="I386" s="1"/>
      <c r="J386" s="1"/>
      <c r="K386" s="1"/>
      <c r="L386" s="1"/>
      <c r="M386" s="1"/>
      <c r="N386" s="1"/>
      <c r="O386" s="1"/>
      <c r="P386" s="1"/>
      <c r="Q386" s="1"/>
      <c r="R386" s="1"/>
    </row>
    <row r="387" spans="2:18">
      <c r="B387" s="1"/>
      <c r="C387" s="1"/>
      <c r="D387" s="1"/>
      <c r="E387" s="1"/>
      <c r="F387" s="1"/>
      <c r="G387" s="1"/>
      <c r="H387" s="1"/>
      <c r="I387" s="1"/>
      <c r="J387" s="1"/>
      <c r="K387" s="1"/>
      <c r="L387" s="1"/>
      <c r="M387" s="1"/>
      <c r="N387" s="1"/>
      <c r="O387" s="1"/>
      <c r="P387" s="1"/>
      <c r="Q387" s="1"/>
      <c r="R387" s="1"/>
    </row>
    <row r="388" spans="2:18">
      <c r="B388" s="1"/>
      <c r="C388" s="1"/>
      <c r="D388" s="1"/>
      <c r="E388" s="1"/>
      <c r="F388" s="1"/>
      <c r="G388" s="1"/>
      <c r="H388" s="1"/>
      <c r="I388" s="1"/>
      <c r="J388" s="1"/>
      <c r="K388" s="1"/>
      <c r="L388" s="1"/>
      <c r="M388" s="1"/>
      <c r="N388" s="1"/>
      <c r="O388" s="1"/>
      <c r="P388" s="1"/>
      <c r="Q388" s="1"/>
      <c r="R388" s="1"/>
    </row>
    <row r="389" spans="2:18">
      <c r="B389" s="1"/>
      <c r="C389" s="1"/>
      <c r="D389" s="1"/>
      <c r="E389" s="1"/>
      <c r="F389" s="1"/>
      <c r="G389" s="1"/>
      <c r="H389" s="1"/>
      <c r="I389" s="1"/>
      <c r="J389" s="1"/>
      <c r="K389" s="1"/>
      <c r="L389" s="1"/>
      <c r="M389" s="1"/>
      <c r="N389" s="1"/>
      <c r="O389" s="1"/>
      <c r="P389" s="1"/>
      <c r="Q389" s="1"/>
      <c r="R389" s="1"/>
    </row>
    <row r="390" spans="2:18">
      <c r="B390" s="1"/>
      <c r="C390" s="1"/>
      <c r="D390" s="1"/>
      <c r="E390" s="1"/>
      <c r="F390" s="1"/>
      <c r="G390" s="1"/>
      <c r="H390" s="1"/>
      <c r="I390" s="1"/>
      <c r="J390" s="1"/>
      <c r="K390" s="1"/>
      <c r="L390" s="1"/>
      <c r="M390" s="1"/>
      <c r="N390" s="1"/>
      <c r="O390" s="1"/>
      <c r="P390" s="1"/>
      <c r="Q390" s="1"/>
      <c r="R390" s="1"/>
    </row>
    <row r="391" spans="2:18">
      <c r="B391" s="1"/>
      <c r="C391" s="1"/>
      <c r="D391" s="1"/>
      <c r="E391" s="1"/>
      <c r="F391" s="1"/>
      <c r="G391" s="1"/>
      <c r="H391" s="1"/>
      <c r="I391" s="1"/>
      <c r="J391" s="1"/>
      <c r="K391" s="1"/>
      <c r="L391" s="1"/>
      <c r="M391" s="1"/>
      <c r="N391" s="1"/>
      <c r="O391" s="1"/>
      <c r="P391" s="1"/>
      <c r="Q391" s="1"/>
      <c r="R391" s="1"/>
    </row>
    <row r="392" spans="2:18">
      <c r="B392" s="1"/>
      <c r="C392" s="1"/>
      <c r="D392" s="1"/>
      <c r="E392" s="1"/>
      <c r="F392" s="1"/>
      <c r="G392" s="1"/>
      <c r="H392" s="1"/>
      <c r="I392" s="1"/>
      <c r="J392" s="1"/>
      <c r="K392" s="1"/>
      <c r="L392" s="1"/>
      <c r="M392" s="1"/>
      <c r="N392" s="1"/>
      <c r="O392" s="1"/>
      <c r="P392" s="1"/>
      <c r="Q392" s="1"/>
      <c r="R392" s="1"/>
    </row>
    <row r="393" spans="2:18">
      <c r="B393" s="1"/>
      <c r="C393" s="1"/>
      <c r="D393" s="1"/>
      <c r="E393" s="1"/>
      <c r="F393" s="1"/>
      <c r="G393" s="1"/>
      <c r="H393" s="1"/>
      <c r="I393" s="1"/>
      <c r="J393" s="1"/>
      <c r="K393" s="1"/>
      <c r="L393" s="1"/>
      <c r="M393" s="1"/>
      <c r="N393" s="1"/>
      <c r="O393" s="1"/>
      <c r="P393" s="1"/>
      <c r="Q393" s="1"/>
      <c r="R393" s="1"/>
    </row>
    <row r="394" spans="2:18">
      <c r="B394" s="1"/>
      <c r="C394" s="1"/>
      <c r="D394" s="1"/>
      <c r="E394" s="1"/>
      <c r="F394" s="1"/>
      <c r="G394" s="1"/>
      <c r="H394" s="1"/>
      <c r="I394" s="1"/>
      <c r="J394" s="1"/>
      <c r="K394" s="1"/>
      <c r="L394" s="1"/>
      <c r="M394" s="1"/>
      <c r="N394" s="1"/>
      <c r="O394" s="1"/>
      <c r="P394" s="1"/>
      <c r="Q394" s="1"/>
      <c r="R394" s="1"/>
    </row>
    <row r="395" spans="2:18">
      <c r="B395" s="1"/>
      <c r="C395" s="1"/>
      <c r="D395" s="1"/>
      <c r="E395" s="1"/>
      <c r="F395" s="1"/>
      <c r="G395" s="1"/>
      <c r="H395" s="1"/>
      <c r="I395" s="1"/>
      <c r="J395" s="1"/>
      <c r="K395" s="1"/>
      <c r="L395" s="1"/>
      <c r="M395" s="1"/>
      <c r="N395" s="1"/>
      <c r="O395" s="1"/>
      <c r="P395" s="1"/>
      <c r="Q395" s="1"/>
      <c r="R395" s="1"/>
    </row>
    <row r="396" spans="2:18">
      <c r="B396" s="1"/>
      <c r="C396" s="1"/>
      <c r="D396" s="1"/>
      <c r="E396" s="1"/>
      <c r="F396" s="1"/>
      <c r="G396" s="1"/>
      <c r="H396" s="1"/>
      <c r="I396" s="1"/>
      <c r="J396" s="1"/>
      <c r="K396" s="1"/>
      <c r="L396" s="1"/>
      <c r="M396" s="1"/>
      <c r="N396" s="1"/>
      <c r="O396" s="1"/>
      <c r="P396" s="1"/>
      <c r="Q396" s="1"/>
      <c r="R396" s="1"/>
    </row>
    <row r="397" spans="2:18">
      <c r="B397" s="1"/>
      <c r="C397" s="1"/>
      <c r="D397" s="1"/>
      <c r="E397" s="1"/>
      <c r="F397" s="1"/>
      <c r="G397" s="1"/>
      <c r="H397" s="1"/>
      <c r="I397" s="1"/>
      <c r="J397" s="1"/>
      <c r="K397" s="1"/>
      <c r="L397" s="1"/>
      <c r="M397" s="1"/>
      <c r="N397" s="1"/>
      <c r="O397" s="1"/>
      <c r="P397" s="1"/>
      <c r="Q397" s="1"/>
      <c r="R397" s="1"/>
    </row>
    <row r="398" spans="2:18">
      <c r="B398" s="1"/>
      <c r="C398" s="1"/>
      <c r="D398" s="1"/>
      <c r="E398" s="1"/>
      <c r="F398" s="1"/>
      <c r="G398" s="1"/>
      <c r="H398" s="1"/>
      <c r="I398" s="1"/>
      <c r="J398" s="1"/>
      <c r="K398" s="1"/>
      <c r="L398" s="1"/>
      <c r="M398" s="1"/>
      <c r="N398" s="1"/>
      <c r="O398" s="1"/>
      <c r="P398" s="1"/>
      <c r="Q398" s="1"/>
      <c r="R398" s="1"/>
    </row>
    <row r="399" spans="2:18">
      <c r="B399" s="1"/>
      <c r="C399" s="1"/>
      <c r="D399" s="1"/>
      <c r="E399" s="1"/>
      <c r="F399" s="1"/>
      <c r="G399" s="1"/>
      <c r="H399" s="1"/>
      <c r="I399" s="1"/>
      <c r="J399" s="1"/>
      <c r="K399" s="1"/>
      <c r="L399" s="1"/>
      <c r="M399" s="1"/>
      <c r="N399" s="1"/>
      <c r="O399" s="1"/>
      <c r="P399" s="1"/>
      <c r="Q399" s="1"/>
      <c r="R399" s="1"/>
    </row>
    <row r="400" spans="2:18">
      <c r="B400" s="1"/>
      <c r="C400" s="1"/>
      <c r="D400" s="1"/>
      <c r="E400" s="1"/>
      <c r="F400" s="1"/>
      <c r="G400" s="1"/>
      <c r="H400" s="1"/>
      <c r="I400" s="1"/>
      <c r="J400" s="1"/>
      <c r="K400" s="1"/>
      <c r="L400" s="1"/>
      <c r="M400" s="1"/>
      <c r="N400" s="1"/>
      <c r="O400" s="1"/>
      <c r="P400" s="1"/>
      <c r="Q400" s="1"/>
      <c r="R400" s="1"/>
    </row>
  </sheetData>
  <mergeCells count="46">
    <mergeCell ref="B80:V80"/>
    <mergeCell ref="C74:F74"/>
    <mergeCell ref="C75:F75"/>
    <mergeCell ref="C76:F76"/>
    <mergeCell ref="C77:F77"/>
    <mergeCell ref="N72:V77"/>
    <mergeCell ref="B58:V58"/>
    <mergeCell ref="C68:F68"/>
    <mergeCell ref="B70:V70"/>
    <mergeCell ref="C72:F72"/>
    <mergeCell ref="C73:F73"/>
    <mergeCell ref="F30:I30"/>
    <mergeCell ref="F31:I31"/>
    <mergeCell ref="F32:I32"/>
    <mergeCell ref="F33:I33"/>
    <mergeCell ref="B36:V36"/>
    <mergeCell ref="K23:N23"/>
    <mergeCell ref="O23:P23"/>
    <mergeCell ref="K24:N24"/>
    <mergeCell ref="O24:P24"/>
    <mergeCell ref="B27:V27"/>
    <mergeCell ref="K20:N20"/>
    <mergeCell ref="O20:P20"/>
    <mergeCell ref="K21:N21"/>
    <mergeCell ref="O21:P21"/>
    <mergeCell ref="K22:N22"/>
    <mergeCell ref="O22:P22"/>
    <mergeCell ref="C14:U14"/>
    <mergeCell ref="B16:V16"/>
    <mergeCell ref="K18:N18"/>
    <mergeCell ref="O18:P18"/>
    <mergeCell ref="K19:N19"/>
    <mergeCell ref="O19:P19"/>
    <mergeCell ref="B2:V2"/>
    <mergeCell ref="B3:V3"/>
    <mergeCell ref="B7:V7"/>
    <mergeCell ref="C9:F9"/>
    <mergeCell ref="C10:F12"/>
    <mergeCell ref="G9:J9"/>
    <mergeCell ref="G10:J12"/>
    <mergeCell ref="K9:N9"/>
    <mergeCell ref="K10:N12"/>
    <mergeCell ref="O9:R9"/>
    <mergeCell ref="O10:R12"/>
    <mergeCell ref="S9:V9"/>
    <mergeCell ref="S10:V12"/>
  </mergeCells>
  <conditionalFormatting sqref="E73:I77">
    <cfRule type="colorScale" priority="1">
      <colorScale>
        <cfvo type="min"/>
        <cfvo type="percentile" val="50"/>
        <cfvo type="max"/>
        <color rgb="FFFCE8E6"/>
        <color rgb="FFF6E7C1"/>
        <color rgb="FFDCEFEA"/>
      </colorScale>
    </cfRule>
  </conditionalFormatting>
  <conditionalFormatting sqref="H73:L77">
    <cfRule type="colorScale" priority="2">
      <colorScale>
        <cfvo type="min"/>
        <cfvo type="percentile" val="50"/>
        <cfvo type="max"/>
        <color rgb="FFFCE8E6"/>
        <color rgb="FFF6E7C1"/>
        <color rgb="FFDCEFEA"/>
      </colorScale>
    </cfRule>
  </conditionalFormatting>
  <dataValidations count="3">
    <dataValidation type="list" sqref="C10" xr:uid="{00000000-0002-0000-0100-000000000000}">
      <formula1>"Downside,Stabilization,Next Run,Accelerated"</formula1>
    </dataValidation>
    <dataValidation type="list" sqref="G10" xr:uid="{00000000-0002-0000-0100-000001000000}">
      <formula1>"OFF,ON"</formula1>
    </dataValidation>
    <dataValidation type="list" sqref="D30:D33" xr:uid="{00000000-0002-0000-0100-000002000000}">
      <formula1>"Down,Base,Up"</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400"/>
  <sheetViews>
    <sheetView showGridLines="0" topLeftCell="A7" zoomScale="85" zoomScaleNormal="85" workbookViewId="0">
      <selection activeCell="I11" sqref="I11"/>
    </sheetView>
  </sheetViews>
  <sheetFormatPr defaultRowHeight="14"/>
  <cols>
    <col min="1" max="1" width="3" customWidth="1"/>
    <col min="2" max="2" width="4" customWidth="1"/>
    <col min="3" max="3" width="34" customWidth="1"/>
    <col min="4" max="4" width="22" customWidth="1"/>
    <col min="5" max="5" width="12" customWidth="1"/>
    <col min="6" max="6" width="19.58203125" bestFit="1" customWidth="1"/>
    <col min="7" max="8" width="18" customWidth="1"/>
    <col min="9" max="10" width="12" customWidth="1"/>
    <col min="11" max="11" width="42" customWidth="1"/>
    <col min="12" max="12" width="35" customWidth="1"/>
    <col min="13" max="13" width="16" customWidth="1"/>
    <col min="14" max="14" width="28" customWidth="1"/>
    <col min="15" max="15" width="20" customWidth="1"/>
    <col min="16" max="16" width="14" customWidth="1"/>
    <col min="17" max="17" width="54" customWidth="1"/>
  </cols>
  <sheetData>
    <row r="1" spans="2:17">
      <c r="B1" s="1"/>
      <c r="C1" s="1"/>
      <c r="D1" s="1"/>
      <c r="E1" s="1"/>
      <c r="F1" s="1"/>
      <c r="G1" s="1"/>
      <c r="H1" s="1"/>
      <c r="I1" s="1"/>
      <c r="J1" s="1"/>
      <c r="K1" s="1"/>
      <c r="L1" s="1"/>
      <c r="M1" s="1"/>
      <c r="N1" s="1"/>
      <c r="O1" s="1"/>
      <c r="P1" s="1"/>
      <c r="Q1" s="1"/>
    </row>
    <row r="2" spans="2:17" ht="32" customHeight="1">
      <c r="B2" s="174" t="s">
        <v>169</v>
      </c>
      <c r="C2" s="174"/>
      <c r="D2" s="174"/>
      <c r="E2" s="174"/>
      <c r="F2" s="174"/>
      <c r="G2" s="174"/>
      <c r="H2" s="174"/>
      <c r="I2" s="174"/>
      <c r="J2" s="174"/>
      <c r="K2" s="174"/>
      <c r="L2" s="174"/>
      <c r="M2" s="174"/>
      <c r="N2" s="174"/>
      <c r="O2" s="174"/>
      <c r="P2" s="174"/>
      <c r="Q2" s="174"/>
    </row>
    <row r="3" spans="2:17" ht="22" customHeight="1">
      <c r="B3" s="175" t="s">
        <v>170</v>
      </c>
      <c r="C3" s="175"/>
      <c r="D3" s="175"/>
      <c r="E3" s="175"/>
      <c r="F3" s="175"/>
      <c r="G3" s="175"/>
      <c r="H3" s="175"/>
      <c r="I3" s="175"/>
      <c r="J3" s="175"/>
      <c r="K3" s="175"/>
      <c r="L3" s="175"/>
      <c r="M3" s="175"/>
      <c r="N3" s="175"/>
      <c r="O3" s="175"/>
      <c r="P3" s="175"/>
      <c r="Q3" s="175"/>
    </row>
    <row r="4" spans="2:17">
      <c r="B4" s="1"/>
      <c r="C4" s="1"/>
      <c r="D4" s="1"/>
      <c r="E4" s="1"/>
      <c r="F4" s="1"/>
      <c r="G4" s="1"/>
      <c r="H4" s="1"/>
      <c r="I4" s="1"/>
      <c r="J4" s="1"/>
      <c r="K4" s="1"/>
      <c r="L4" s="1"/>
      <c r="M4" s="1"/>
      <c r="N4" s="1"/>
      <c r="O4" s="1"/>
      <c r="P4" s="1"/>
      <c r="Q4" s="1"/>
    </row>
    <row r="5" spans="2:17">
      <c r="B5" s="1"/>
      <c r="C5" s="1"/>
      <c r="D5" s="1"/>
      <c r="E5" s="1"/>
      <c r="F5" s="1"/>
      <c r="G5" s="1"/>
      <c r="H5" s="1"/>
      <c r="I5" s="1"/>
      <c r="J5" s="1"/>
      <c r="K5" s="1"/>
      <c r="L5" s="1"/>
      <c r="M5" s="1"/>
      <c r="N5" s="31" t="s">
        <v>21</v>
      </c>
      <c r="O5" s="31" t="s">
        <v>24</v>
      </c>
      <c r="P5" s="31" t="s">
        <v>27</v>
      </c>
      <c r="Q5" s="31" t="s">
        <v>30</v>
      </c>
    </row>
    <row r="6" spans="2:17">
      <c r="B6" s="1"/>
      <c r="C6" s="1"/>
      <c r="D6" s="1"/>
      <c r="E6" s="1"/>
      <c r="F6" s="1"/>
      <c r="G6" s="1"/>
      <c r="H6" s="1"/>
      <c r="I6" s="1"/>
      <c r="J6" s="1"/>
      <c r="K6" s="1"/>
      <c r="L6" s="1"/>
      <c r="M6" s="1"/>
      <c r="N6" s="1"/>
      <c r="O6" s="1"/>
      <c r="P6" s="1"/>
      <c r="Q6" s="1"/>
    </row>
    <row r="7" spans="2:17" ht="21" customHeight="1">
      <c r="B7" s="177" t="s">
        <v>171</v>
      </c>
      <c r="C7" s="177"/>
      <c r="D7" s="177"/>
      <c r="E7" s="177"/>
      <c r="F7" s="177"/>
      <c r="G7" s="177"/>
      <c r="H7" s="177"/>
      <c r="I7" s="177"/>
      <c r="J7" s="177"/>
      <c r="K7" s="177"/>
      <c r="L7" s="177"/>
      <c r="M7" s="177"/>
      <c r="N7" s="177"/>
      <c r="O7" s="1"/>
      <c r="P7" s="1"/>
      <c r="Q7" s="1"/>
    </row>
    <row r="8" spans="2:17">
      <c r="B8" s="1"/>
      <c r="C8" s="1"/>
      <c r="D8" s="1"/>
      <c r="E8" s="1"/>
      <c r="F8" s="1"/>
      <c r="G8" s="1"/>
      <c r="H8" s="1"/>
      <c r="I8" s="1"/>
      <c r="J8" s="1"/>
      <c r="K8" s="1"/>
      <c r="L8" s="1"/>
      <c r="M8" s="1"/>
      <c r="N8" s="1"/>
      <c r="O8" s="1"/>
      <c r="P8" s="1"/>
      <c r="Q8" s="1"/>
    </row>
    <row r="9" spans="2:17">
      <c r="B9" s="1"/>
      <c r="C9" s="2" t="s">
        <v>172</v>
      </c>
      <c r="D9" s="32" t="str">
        <f>Dashboard!C10</f>
        <v>Next Run</v>
      </c>
      <c r="E9" s="1"/>
      <c r="F9" s="4" t="s">
        <v>173</v>
      </c>
      <c r="G9" s="4" t="s">
        <v>174</v>
      </c>
      <c r="H9" s="1"/>
      <c r="I9" s="1"/>
      <c r="J9" s="1"/>
      <c r="K9" s="1"/>
      <c r="L9" s="1"/>
      <c r="M9" s="1"/>
      <c r="N9" s="1"/>
      <c r="O9" s="1"/>
      <c r="P9" s="1"/>
      <c r="Q9" s="1"/>
    </row>
    <row r="10" spans="2:17">
      <c r="B10" s="1"/>
      <c r="C10" s="2" t="s">
        <v>175</v>
      </c>
      <c r="D10" s="32">
        <f>IF(Dashboard!G10="ON",1,0)</f>
        <v>0</v>
      </c>
      <c r="E10" s="1"/>
      <c r="F10" s="36" t="s">
        <v>124</v>
      </c>
      <c r="G10" s="39">
        <f>IF(Dashboard!$D$30="Down",-2%,IF(Dashboard!$D$30="Up",2%,0%))</f>
        <v>0</v>
      </c>
      <c r="H10" s="1"/>
      <c r="I10" s="1"/>
      <c r="J10" s="1"/>
      <c r="K10" s="1"/>
      <c r="L10" s="1"/>
      <c r="M10" s="1"/>
      <c r="N10" s="1"/>
      <c r="O10" s="1"/>
      <c r="P10" s="1"/>
      <c r="Q10" s="1"/>
    </row>
    <row r="11" spans="2:17">
      <c r="B11" s="1"/>
      <c r="C11" s="2" t="s">
        <v>12</v>
      </c>
      <c r="D11" s="35">
        <v>46255</v>
      </c>
      <c r="E11" s="1"/>
      <c r="F11" s="37" t="s">
        <v>176</v>
      </c>
      <c r="G11" s="40">
        <f>IF(Dashboard!$D$31="Down",-1%,IF(Dashboard!$D$31="Up",1%,0%))</f>
        <v>0</v>
      </c>
      <c r="H11" s="1"/>
      <c r="I11" s="1"/>
      <c r="J11" s="1"/>
      <c r="K11" s="1"/>
      <c r="L11" s="1"/>
      <c r="M11" s="1"/>
      <c r="N11" s="1"/>
      <c r="O11" s="1"/>
      <c r="P11" s="1"/>
      <c r="Q11" s="1"/>
    </row>
    <row r="12" spans="2:17">
      <c r="B12" s="1"/>
      <c r="C12" s="2" t="s">
        <v>10</v>
      </c>
      <c r="D12" s="33" t="s">
        <v>177</v>
      </c>
      <c r="E12" s="1"/>
      <c r="F12" s="37" t="s">
        <v>130</v>
      </c>
      <c r="G12" s="40">
        <f>IF(Dashboard!$D$32="Down",-0.5%,IF(Dashboard!$D$32="Up",0.5%,0%))</f>
        <v>0</v>
      </c>
      <c r="H12" s="1"/>
      <c r="I12" s="1"/>
      <c r="J12" s="1"/>
      <c r="K12" s="1"/>
      <c r="L12" s="1"/>
      <c r="M12" s="1"/>
      <c r="N12" s="1"/>
      <c r="O12" s="1"/>
      <c r="P12" s="1"/>
      <c r="Q12" s="1"/>
    </row>
    <row r="13" spans="2:17">
      <c r="B13" s="1"/>
      <c r="C13" s="2" t="s">
        <v>178</v>
      </c>
      <c r="D13" s="33" t="s">
        <v>179</v>
      </c>
      <c r="E13" s="1"/>
      <c r="F13" s="37" t="s">
        <v>180</v>
      </c>
      <c r="G13" s="41">
        <f>IF(Dashboard!$D$33="Down",3,IF(Dashboard!$D$33="Up",-3,0))</f>
        <v>0</v>
      </c>
      <c r="H13" s="1"/>
      <c r="I13" s="1"/>
      <c r="J13" s="1"/>
      <c r="K13" s="1"/>
      <c r="L13" s="1"/>
      <c r="M13" s="1"/>
      <c r="N13" s="1"/>
      <c r="O13" s="1"/>
      <c r="P13" s="1"/>
      <c r="Q13" s="1"/>
    </row>
    <row r="14" spans="2:17">
      <c r="B14" s="1"/>
      <c r="C14" s="2" t="s">
        <v>181</v>
      </c>
      <c r="D14" s="34" t="s">
        <v>182</v>
      </c>
      <c r="E14" s="1"/>
      <c r="F14" s="38" t="s">
        <v>183</v>
      </c>
      <c r="G14" s="42">
        <f>IF(Dashboard!$D$33="Down",-2,IF(Dashboard!$D$33="Up",2,0))</f>
        <v>0</v>
      </c>
      <c r="H14" s="1"/>
      <c r="I14" s="1"/>
      <c r="J14" s="1"/>
      <c r="K14" s="1"/>
      <c r="L14" s="1"/>
      <c r="M14" s="1"/>
      <c r="N14" s="1"/>
      <c r="O14" s="1"/>
      <c r="P14" s="1"/>
      <c r="Q14" s="1"/>
    </row>
    <row r="15" spans="2:17" ht="24" customHeight="1">
      <c r="B15" s="1"/>
      <c r="C15" s="246" t="s">
        <v>184</v>
      </c>
      <c r="D15" s="247"/>
      <c r="E15" s="247"/>
      <c r="F15" s="247"/>
      <c r="G15" s="247"/>
      <c r="H15" s="247"/>
      <c r="I15" s="247"/>
      <c r="J15" s="247"/>
      <c r="K15" s="247"/>
      <c r="L15" s="247"/>
      <c r="M15" s="247"/>
      <c r="N15" s="247"/>
      <c r="O15" s="247"/>
      <c r="P15" s="247"/>
      <c r="Q15" s="248"/>
    </row>
    <row r="16" spans="2:17" ht="21" customHeight="1">
      <c r="B16" s="177" t="s">
        <v>185</v>
      </c>
      <c r="C16" s="177"/>
      <c r="D16" s="177"/>
      <c r="E16" s="177"/>
      <c r="F16" s="177"/>
      <c r="G16" s="177"/>
      <c r="H16" s="177"/>
      <c r="I16" s="177"/>
      <c r="J16" s="177"/>
      <c r="K16" s="177"/>
      <c r="L16" s="177"/>
      <c r="M16" s="177"/>
      <c r="N16" s="177"/>
      <c r="O16" s="1"/>
      <c r="P16" s="1"/>
      <c r="Q16" s="1"/>
    </row>
    <row r="17" spans="2:17">
      <c r="B17" s="1"/>
      <c r="C17" s="4" t="s">
        <v>120</v>
      </c>
      <c r="D17" s="4" t="s">
        <v>186</v>
      </c>
      <c r="E17" s="43" t="s">
        <v>187</v>
      </c>
      <c r="F17" s="44" t="s">
        <v>188</v>
      </c>
      <c r="G17" s="44" t="s">
        <v>189</v>
      </c>
      <c r="H17" s="44" t="s">
        <v>190</v>
      </c>
      <c r="I17" s="45" t="s">
        <v>99</v>
      </c>
      <c r="J17" s="46" t="s">
        <v>100</v>
      </c>
      <c r="K17" s="47" t="s">
        <v>101</v>
      </c>
      <c r="L17" s="47" t="s">
        <v>102</v>
      </c>
      <c r="M17" s="47" t="s">
        <v>103</v>
      </c>
      <c r="N17" s="48" t="s">
        <v>104</v>
      </c>
      <c r="O17" s="1"/>
      <c r="P17" s="1"/>
      <c r="Q17" s="1"/>
    </row>
    <row r="18" spans="2:17">
      <c r="B18" s="1"/>
      <c r="C18" s="1" t="s">
        <v>124</v>
      </c>
      <c r="D18" s="1" t="s">
        <v>191</v>
      </c>
      <c r="E18" s="77">
        <v>4.8767344739323759E-2</v>
      </c>
      <c r="F18" s="78">
        <f>F158/E158-1</f>
        <v>9.6488974523656568E-2</v>
      </c>
      <c r="G18" s="78">
        <f>G158/F158-1</f>
        <v>2.8310912392370824E-3</v>
      </c>
      <c r="H18" s="78">
        <f>H158/G158-1</f>
        <v>-9.8380125384525563E-2</v>
      </c>
      <c r="I18" s="78">
        <f>I158/H158-1</f>
        <v>1.9218726381480256E-3</v>
      </c>
      <c r="J18" s="51">
        <f t="shared" ref="J18:N27" si="0">IF($D$9="Downside",J47,IF($D$9="Stabilization",J70,IF($D$9="Next Run",J93,J116)))</f>
        <v>0.04</v>
      </c>
      <c r="K18" s="51">
        <f t="shared" si="0"/>
        <v>0.05</v>
      </c>
      <c r="L18" s="51">
        <f t="shared" si="0"/>
        <v>5.5E-2</v>
      </c>
      <c r="M18" s="51">
        <f t="shared" si="0"/>
        <v>5.5E-2</v>
      </c>
      <c r="N18" s="51">
        <f t="shared" si="0"/>
        <v>5.5E-2</v>
      </c>
      <c r="O18" s="1"/>
      <c r="P18" s="1"/>
      <c r="Q18" s="1"/>
    </row>
    <row r="19" spans="2:17">
      <c r="B19" s="1"/>
      <c r="C19" s="1" t="s">
        <v>128</v>
      </c>
      <c r="D19" s="1" t="s">
        <v>191</v>
      </c>
      <c r="E19" s="78">
        <f>E160/E158</f>
        <v>0.45983729394134021</v>
      </c>
      <c r="F19" s="78">
        <f>F160/F158</f>
        <v>0.43524610969014194</v>
      </c>
      <c r="G19" s="78">
        <f>G160/G158</f>
        <v>0.44560180678322497</v>
      </c>
      <c r="H19" s="78">
        <f>H160/H158</f>
        <v>0.42734673605562634</v>
      </c>
      <c r="I19" s="78">
        <f>I160/I158</f>
        <v>0.42913487650329757</v>
      </c>
      <c r="J19" s="51">
        <f t="shared" si="0"/>
        <v>0.432</v>
      </c>
      <c r="K19" s="51">
        <f t="shared" si="0"/>
        <v>0.438</v>
      </c>
      <c r="L19" s="51">
        <f t="shared" si="0"/>
        <v>0.44400000000000001</v>
      </c>
      <c r="M19" s="51">
        <f t="shared" si="0"/>
        <v>0.44900000000000001</v>
      </c>
      <c r="N19" s="51">
        <f t="shared" si="0"/>
        <v>0.45300000000000001</v>
      </c>
      <c r="O19" s="1"/>
      <c r="P19" s="1"/>
      <c r="Q19" s="1"/>
    </row>
    <row r="20" spans="2:17">
      <c r="B20" s="1"/>
      <c r="C20" s="1" t="s">
        <v>192</v>
      </c>
      <c r="D20" s="1" t="s">
        <v>191</v>
      </c>
      <c r="E20" s="78">
        <f>E161/E158</f>
        <v>8.2423463926354093E-2</v>
      </c>
      <c r="F20" s="78">
        <f>F161/F158</f>
        <v>7.9270554698635212E-2</v>
      </c>
      <c r="G20" s="78">
        <f>G161/G158</f>
        <v>8.3427436626299603E-2</v>
      </c>
      <c r="H20" s="78">
        <f>H161/H158</f>
        <v>0.10125461573344274</v>
      </c>
      <c r="I20" s="78">
        <f>I161/I158</f>
        <v>0.10246131298762878</v>
      </c>
      <c r="J20" s="51">
        <f t="shared" si="0"/>
        <v>0.105</v>
      </c>
      <c r="K20" s="51">
        <f t="shared" si="0"/>
        <v>0.106</v>
      </c>
      <c r="L20" s="51">
        <f t="shared" si="0"/>
        <v>0.105</v>
      </c>
      <c r="M20" s="51">
        <f t="shared" si="0"/>
        <v>0.104</v>
      </c>
      <c r="N20" s="51">
        <f t="shared" si="0"/>
        <v>0.10299999999999999</v>
      </c>
      <c r="O20" s="1"/>
      <c r="P20" s="1"/>
      <c r="Q20" s="1"/>
    </row>
    <row r="21" spans="2:17">
      <c r="B21" s="1"/>
      <c r="C21" s="1" t="s">
        <v>193</v>
      </c>
      <c r="D21" s="1" t="s">
        <v>191</v>
      </c>
      <c r="E21" s="78">
        <f>E162/E158</f>
        <v>0.23451081138942412</v>
      </c>
      <c r="F21" s="78">
        <f>F162/F158</f>
        <v>0.24048655719780543</v>
      </c>
      <c r="G21" s="78">
        <f>G162/G158</f>
        <v>0.23930142907207663</v>
      </c>
      <c r="H21" s="78">
        <f>H162/H158</f>
        <v>0.24615085620505733</v>
      </c>
      <c r="I21" s="78">
        <f>I162/I158</f>
        <v>0.24483813957498168</v>
      </c>
      <c r="J21" s="51">
        <f t="shared" si="0"/>
        <v>0.245</v>
      </c>
      <c r="K21" s="51">
        <f t="shared" si="0"/>
        <v>0.23799999999999999</v>
      </c>
      <c r="L21" s="51">
        <f t="shared" si="0"/>
        <v>0.23200000000000001</v>
      </c>
      <c r="M21" s="51">
        <f t="shared" si="0"/>
        <v>0.22700000000000001</v>
      </c>
      <c r="N21" s="51">
        <f t="shared" si="0"/>
        <v>0.223</v>
      </c>
      <c r="O21" s="1"/>
      <c r="P21" s="1"/>
      <c r="Q21" s="1"/>
    </row>
    <row r="22" spans="2:17">
      <c r="B22" s="1"/>
      <c r="C22" s="1" t="s">
        <v>194</v>
      </c>
      <c r="D22" s="1" t="s">
        <v>195</v>
      </c>
      <c r="E22" s="79">
        <f t="shared" ref="E22:I23" si="1">E193/E158*365</f>
        <v>36.468743309783775</v>
      </c>
      <c r="F22" s="79">
        <f t="shared" si="1"/>
        <v>29.439736806138587</v>
      </c>
      <c r="G22" s="79">
        <f t="shared" si="1"/>
        <v>31.460126163311397</v>
      </c>
      <c r="H22" s="79">
        <f t="shared" si="1"/>
        <v>37.178626184974839</v>
      </c>
      <c r="I22" s="79">
        <f t="shared" si="1"/>
        <v>46.657506789085737</v>
      </c>
      <c r="J22" s="53">
        <f t="shared" si="0"/>
        <v>44</v>
      </c>
      <c r="K22" s="53">
        <f t="shared" si="0"/>
        <v>43</v>
      </c>
      <c r="L22" s="53">
        <f t="shared" si="0"/>
        <v>42</v>
      </c>
      <c r="M22" s="53">
        <f t="shared" si="0"/>
        <v>41</v>
      </c>
      <c r="N22" s="53">
        <f t="shared" si="0"/>
        <v>40</v>
      </c>
      <c r="O22" s="1"/>
      <c r="P22" s="1"/>
      <c r="Q22" s="1"/>
    </row>
    <row r="23" spans="2:17">
      <c r="B23" s="1"/>
      <c r="C23" s="1" t="s">
        <v>196</v>
      </c>
      <c r="D23" s="1" t="s">
        <v>195</v>
      </c>
      <c r="E23" s="79">
        <f t="shared" si="1"/>
        <v>121.8065078673061</v>
      </c>
      <c r="F23" s="79">
        <f t="shared" si="1"/>
        <v>106.67968885047536</v>
      </c>
      <c r="G23" s="79">
        <f t="shared" si="1"/>
        <v>96.380509218612829</v>
      </c>
      <c r="H23" s="79">
        <f t="shared" si="1"/>
        <v>103.07647347185038</v>
      </c>
      <c r="I23" s="79">
        <f t="shared" si="1"/>
        <v>103.36636840714313</v>
      </c>
      <c r="J23" s="53">
        <f t="shared" si="0"/>
        <v>101</v>
      </c>
      <c r="K23" s="53">
        <f t="shared" si="0"/>
        <v>99</v>
      </c>
      <c r="L23" s="53">
        <f t="shared" si="0"/>
        <v>97</v>
      </c>
      <c r="M23" s="53">
        <f t="shared" si="0"/>
        <v>96</v>
      </c>
      <c r="N23" s="53">
        <f t="shared" si="0"/>
        <v>95</v>
      </c>
      <c r="O23" s="1"/>
      <c r="P23" s="1"/>
      <c r="Q23" s="1"/>
    </row>
    <row r="24" spans="2:17">
      <c r="B24" s="1"/>
      <c r="C24" s="1" t="s">
        <v>197</v>
      </c>
      <c r="D24" s="1" t="s">
        <v>195</v>
      </c>
      <c r="E24" s="79">
        <f>E203/E159*365</f>
        <v>48.577939835916133</v>
      </c>
      <c r="F24" s="79">
        <f>F203/F159*365</f>
        <v>36.115125324114082</v>
      </c>
      <c r="G24" s="79">
        <f>G203/G159*365</f>
        <v>36.544863915715538</v>
      </c>
      <c r="H24" s="79">
        <f>H203/H159*365</f>
        <v>47.883969983785214</v>
      </c>
      <c r="I24" s="79">
        <f>I203/I159*365</f>
        <v>49.60924226979273</v>
      </c>
      <c r="J24" s="53">
        <f t="shared" si="0"/>
        <v>49</v>
      </c>
      <c r="K24" s="53">
        <f t="shared" si="0"/>
        <v>50</v>
      </c>
      <c r="L24" s="53">
        <f t="shared" si="0"/>
        <v>50</v>
      </c>
      <c r="M24" s="53">
        <f t="shared" si="0"/>
        <v>51</v>
      </c>
      <c r="N24" s="53">
        <f t="shared" si="0"/>
        <v>52</v>
      </c>
      <c r="O24" s="1"/>
      <c r="P24" s="1"/>
      <c r="Q24" s="1"/>
    </row>
    <row r="25" spans="2:17">
      <c r="B25" s="1"/>
      <c r="C25" s="1" t="s">
        <v>198</v>
      </c>
      <c r="D25" s="1" t="s">
        <v>191</v>
      </c>
      <c r="E25" s="78">
        <f>E195/E158</f>
        <v>4.5579105116677371E-2</v>
      </c>
      <c r="F25" s="78">
        <f>F195/F158</f>
        <v>3.7917097838608277E-2</v>
      </c>
      <c r="G25" s="78">
        <f>G195/G158</f>
        <v>3.6096725205404773E-2</v>
      </c>
      <c r="H25" s="78">
        <f>H195/H158</f>
        <v>4.329611954479691E-2</v>
      </c>
      <c r="I25" s="78">
        <f>I195/I158</f>
        <v>4.6208888314151472E-2</v>
      </c>
      <c r="J25" s="51">
        <f t="shared" si="0"/>
        <v>4.4999999999999998E-2</v>
      </c>
      <c r="K25" s="51">
        <f t="shared" si="0"/>
        <v>4.3999999999999997E-2</v>
      </c>
      <c r="L25" s="51">
        <f t="shared" si="0"/>
        <v>4.2999999999999997E-2</v>
      </c>
      <c r="M25" s="51">
        <f t="shared" si="0"/>
        <v>4.2000000000000003E-2</v>
      </c>
      <c r="N25" s="51">
        <f t="shared" si="0"/>
        <v>4.1000000000000002E-2</v>
      </c>
      <c r="O25" s="1"/>
      <c r="P25" s="1"/>
      <c r="Q25" s="1"/>
    </row>
    <row r="26" spans="2:17">
      <c r="B26" s="1"/>
      <c r="C26" s="1" t="s">
        <v>199</v>
      </c>
      <c r="D26" s="1" t="s">
        <v>191</v>
      </c>
      <c r="E26" s="78">
        <f>E200/E158</f>
        <v>8.1802611860415334E-2</v>
      </c>
      <c r="F26" s="78">
        <f>F200/F158</f>
        <v>7.3608372220161269E-2</v>
      </c>
      <c r="G26" s="78">
        <f>G200/G158</f>
        <v>8.7827576807756713E-2</v>
      </c>
      <c r="H26" s="78">
        <f>H200/H158</f>
        <v>0.11181411820596428</v>
      </c>
      <c r="I26" s="78">
        <f>I200/I158</f>
        <v>0.12228975386870124</v>
      </c>
      <c r="J26" s="51">
        <f t="shared" si="0"/>
        <v>0.121</v>
      </c>
      <c r="K26" s="51">
        <f t="shared" si="0"/>
        <v>0.11899999999999999</v>
      </c>
      <c r="L26" s="51">
        <f t="shared" si="0"/>
        <v>0.11700000000000001</v>
      </c>
      <c r="M26" s="51">
        <f t="shared" si="0"/>
        <v>0.115</v>
      </c>
      <c r="N26" s="51">
        <f t="shared" si="0"/>
        <v>0.113</v>
      </c>
      <c r="O26" s="1"/>
      <c r="P26" s="1"/>
      <c r="Q26" s="1"/>
    </row>
    <row r="27" spans="2:17">
      <c r="B27" s="1"/>
      <c r="C27" s="1" t="s">
        <v>200</v>
      </c>
      <c r="D27" s="1" t="s">
        <v>191</v>
      </c>
      <c r="E27" s="78">
        <f>E205/E158</f>
        <v>0.13316206379790194</v>
      </c>
      <c r="F27" s="78">
        <f>F205/F158</f>
        <v>0.11174024249760822</v>
      </c>
      <c r="G27" s="78">
        <f>G205/G158</f>
        <v>0.11146372804797321</v>
      </c>
      <c r="H27" s="78">
        <f>H205/H158</f>
        <v>0.12775054525038329</v>
      </c>
      <c r="I27" s="78">
        <f>I205/I158</f>
        <v>0.13129876287771025</v>
      </c>
      <c r="J27" s="51">
        <f t="shared" si="0"/>
        <v>0.13200000000000001</v>
      </c>
      <c r="K27" s="51">
        <f t="shared" si="0"/>
        <v>0.13</v>
      </c>
      <c r="L27" s="51">
        <f t="shared" si="0"/>
        <v>0.128</v>
      </c>
      <c r="M27" s="51">
        <f t="shared" si="0"/>
        <v>0.126</v>
      </c>
      <c r="N27" s="51">
        <f t="shared" si="0"/>
        <v>0.124</v>
      </c>
      <c r="O27" s="1"/>
      <c r="P27" s="1"/>
      <c r="Q27" s="1"/>
    </row>
    <row r="28" spans="2:17">
      <c r="B28" s="1"/>
      <c r="C28" s="1" t="s">
        <v>201</v>
      </c>
      <c r="D28" s="1" t="s">
        <v>191</v>
      </c>
      <c r="E28" s="78">
        <f>E209/E158</f>
        <v>5.5940912010276171E-2</v>
      </c>
      <c r="F28" s="78">
        <f>F209/F158</f>
        <v>4.9944354413573616E-2</v>
      </c>
      <c r="G28" s="78">
        <f>G209/G158</f>
        <v>5.097153537634827E-2</v>
      </c>
      <c r="H28" s="78">
        <f>H209/H158</f>
        <v>4.9428836727202052E-2</v>
      </c>
      <c r="I28" s="78">
        <f>I209/I158</f>
        <v>5.2653131600500024E-2</v>
      </c>
      <c r="J28" s="51">
        <f t="shared" ref="J28:N37" si="2">IF($D$9="Downside",J57,IF($D$9="Stabilization",J80,IF($D$9="Next Run",J103,J126)))</f>
        <v>5.2999999999999999E-2</v>
      </c>
      <c r="K28" s="51">
        <f t="shared" si="2"/>
        <v>5.1999999999999998E-2</v>
      </c>
      <c r="L28" s="51">
        <f t="shared" si="2"/>
        <v>5.0999999999999997E-2</v>
      </c>
      <c r="M28" s="51">
        <f t="shared" si="2"/>
        <v>0.05</v>
      </c>
      <c r="N28" s="51">
        <f t="shared" si="2"/>
        <v>4.9000000000000002E-2</v>
      </c>
      <c r="O28" s="1"/>
      <c r="P28" s="1"/>
      <c r="Q28" s="1"/>
    </row>
    <row r="29" spans="2:17">
      <c r="B29" s="1"/>
      <c r="C29" s="1" t="s">
        <v>130</v>
      </c>
      <c r="D29" s="1" t="s">
        <v>191</v>
      </c>
      <c r="E29" s="78">
        <f>E180/E158</f>
        <v>1.6227788482123744E-2</v>
      </c>
      <c r="F29" s="78">
        <f>F180/F158</f>
        <v>1.8919499384969833E-2</v>
      </c>
      <c r="G29" s="78">
        <f>G180/G158</f>
        <v>1.5809353218332621E-2</v>
      </c>
      <c r="H29" s="78">
        <f>H180/H158</f>
        <v>9.2854520719514565E-3</v>
      </c>
      <c r="I29" s="78">
        <f>I180/I158</f>
        <v>1.4742014742014743E-2</v>
      </c>
      <c r="J29" s="51">
        <f t="shared" si="2"/>
        <v>2.1999999999999999E-2</v>
      </c>
      <c r="K29" s="51">
        <f t="shared" si="2"/>
        <v>2.1000000000000001E-2</v>
      </c>
      <c r="L29" s="51">
        <f t="shared" si="2"/>
        <v>0.02</v>
      </c>
      <c r="M29" s="51">
        <f t="shared" si="2"/>
        <v>1.9E-2</v>
      </c>
      <c r="N29" s="51">
        <f t="shared" si="2"/>
        <v>1.7999999999999999E-2</v>
      </c>
      <c r="O29" s="1"/>
      <c r="P29" s="1"/>
      <c r="Q29" s="1"/>
    </row>
    <row r="30" spans="2:17">
      <c r="B30" s="1"/>
      <c r="C30" s="1" t="s">
        <v>202</v>
      </c>
      <c r="D30" s="1" t="s">
        <v>191</v>
      </c>
      <c r="E30" s="78">
        <f>E170/E158</f>
        <v>1.5350032113037893E-2</v>
      </c>
      <c r="F30" s="78">
        <f>F170/F158</f>
        <v>1.3725911318507526E-2</v>
      </c>
      <c r="G30" s="78">
        <f>G170/G158</f>
        <v>1.5497838869202913E-2</v>
      </c>
      <c r="H30" s="78">
        <f>H170/H158</f>
        <v>1.6735407804098556E-2</v>
      </c>
      <c r="I30" s="78">
        <f>I170/I158</f>
        <v>1.6099831889305572E-2</v>
      </c>
      <c r="J30" s="51">
        <f t="shared" si="2"/>
        <v>1.6E-2</v>
      </c>
      <c r="K30" s="51">
        <f t="shared" si="2"/>
        <v>1.6E-2</v>
      </c>
      <c r="L30" s="51">
        <f t="shared" si="2"/>
        <v>1.6E-2</v>
      </c>
      <c r="M30" s="51">
        <f t="shared" si="2"/>
        <v>1.6E-2</v>
      </c>
      <c r="N30" s="51">
        <f t="shared" si="2"/>
        <v>1.6E-2</v>
      </c>
      <c r="O30" s="1"/>
      <c r="P30" s="1"/>
      <c r="Q30" s="1"/>
    </row>
    <row r="31" spans="2:17">
      <c r="B31" s="1"/>
      <c r="C31" s="1" t="s">
        <v>203</v>
      </c>
      <c r="D31" s="1" t="s">
        <v>191</v>
      </c>
      <c r="E31" s="78">
        <f>E171/E158</f>
        <v>1.3658745450652965E-2</v>
      </c>
      <c r="F31" s="78">
        <f>F171/F158</f>
        <v>1.4741199211199407E-2</v>
      </c>
      <c r="G31" s="78">
        <f>G171/G158</f>
        <v>1.5653596043767766E-2</v>
      </c>
      <c r="H31" s="78">
        <f>H171/H158</f>
        <v>1.5310198881426937E-2</v>
      </c>
      <c r="I31" s="78">
        <f>I171/I158</f>
        <v>1.5410146989094358E-2</v>
      </c>
      <c r="J31" s="51">
        <f t="shared" si="2"/>
        <v>1.4999999999999999E-2</v>
      </c>
      <c r="K31" s="51">
        <f t="shared" si="2"/>
        <v>1.4999999999999999E-2</v>
      </c>
      <c r="L31" s="51">
        <f t="shared" si="2"/>
        <v>1.4999999999999999E-2</v>
      </c>
      <c r="M31" s="51">
        <f t="shared" si="2"/>
        <v>1.4999999999999999E-2</v>
      </c>
      <c r="N31" s="51">
        <f t="shared" si="2"/>
        <v>1.4999999999999999E-2</v>
      </c>
      <c r="O31" s="1"/>
      <c r="P31" s="1"/>
      <c r="Q31" s="1"/>
    </row>
    <row r="32" spans="2:17">
      <c r="B32" s="1"/>
      <c r="C32" s="1" t="s">
        <v>204</v>
      </c>
      <c r="D32" s="1" t="s">
        <v>191</v>
      </c>
      <c r="E32" s="78">
        <f>E184/E167</f>
        <v>0.30383724776711873</v>
      </c>
      <c r="F32" s="78">
        <f>F184/F167</f>
        <v>0.39684418145956607</v>
      </c>
      <c r="G32" s="78">
        <f>G184/G167</f>
        <v>0.38052631578947366</v>
      </c>
      <c r="H32" s="78">
        <f>H184/H167</f>
        <v>0.71450761105933525</v>
      </c>
      <c r="I32" s="78">
        <f>I184/I167</f>
        <v>0.77445302445302444</v>
      </c>
      <c r="J32" s="51">
        <f t="shared" si="2"/>
        <v>0.65</v>
      </c>
      <c r="K32" s="51">
        <f t="shared" si="2"/>
        <v>0.62</v>
      </c>
      <c r="L32" s="51">
        <f t="shared" si="2"/>
        <v>0.6</v>
      </c>
      <c r="M32" s="51">
        <f t="shared" si="2"/>
        <v>0.57999999999999996</v>
      </c>
      <c r="N32" s="51">
        <f t="shared" si="2"/>
        <v>0.55000000000000004</v>
      </c>
      <c r="O32" s="1"/>
      <c r="P32" s="1"/>
      <c r="Q32" s="1"/>
    </row>
    <row r="33" spans="2:17">
      <c r="B33" s="1"/>
      <c r="C33" s="1" t="s">
        <v>205</v>
      </c>
      <c r="D33" s="1" t="s">
        <v>206</v>
      </c>
      <c r="E33" s="80">
        <f>E185</f>
        <v>4014</v>
      </c>
      <c r="F33" s="80">
        <f>F185</f>
        <v>5480</v>
      </c>
      <c r="G33" s="80">
        <f>G185</f>
        <v>4250</v>
      </c>
      <c r="H33" s="80">
        <f>H185</f>
        <v>2985</v>
      </c>
      <c r="I33" s="80">
        <f>I185</f>
        <v>146</v>
      </c>
      <c r="J33" s="54">
        <f t="shared" si="2"/>
        <v>500</v>
      </c>
      <c r="K33" s="54">
        <f t="shared" si="2"/>
        <v>500</v>
      </c>
      <c r="L33" s="54">
        <f t="shared" si="2"/>
        <v>500</v>
      </c>
      <c r="M33" s="54">
        <f t="shared" si="2"/>
        <v>500</v>
      </c>
      <c r="N33" s="54">
        <f t="shared" si="2"/>
        <v>500</v>
      </c>
      <c r="O33" s="1"/>
      <c r="P33" s="1"/>
      <c r="Q33" s="1"/>
    </row>
    <row r="34" spans="2:17">
      <c r="B34" s="1"/>
      <c r="C34" s="1" t="s">
        <v>207</v>
      </c>
      <c r="D34" s="1" t="s">
        <v>206</v>
      </c>
      <c r="E34" s="80">
        <f>-E182</f>
        <v>-15</v>
      </c>
      <c r="F34" s="80">
        <f>-F182</f>
        <v>504</v>
      </c>
      <c r="G34" s="80">
        <f>-G182</f>
        <v>0</v>
      </c>
      <c r="H34" s="80">
        <f>-H182</f>
        <v>1000</v>
      </c>
      <c r="I34" s="80">
        <f>-I182</f>
        <v>0</v>
      </c>
      <c r="J34" s="54">
        <f t="shared" si="2"/>
        <v>500</v>
      </c>
      <c r="K34" s="54">
        <f t="shared" si="2"/>
        <v>500</v>
      </c>
      <c r="L34" s="54">
        <f t="shared" si="2"/>
        <v>500</v>
      </c>
      <c r="M34" s="54">
        <f t="shared" si="2"/>
        <v>500</v>
      </c>
      <c r="N34" s="54">
        <f t="shared" si="2"/>
        <v>500</v>
      </c>
      <c r="O34" s="1"/>
      <c r="P34" s="1"/>
      <c r="Q34" s="1"/>
    </row>
    <row r="35" spans="2:17">
      <c r="B35" s="1"/>
      <c r="C35" s="1" t="s">
        <v>208</v>
      </c>
      <c r="D35" s="1" t="s">
        <v>206</v>
      </c>
      <c r="E35" s="80">
        <f>E183</f>
        <v>1000</v>
      </c>
      <c r="F35" s="80">
        <f>F183</f>
        <v>549</v>
      </c>
      <c r="G35" s="80">
        <f>G183</f>
        <v>531</v>
      </c>
      <c r="H35" s="80">
        <f>H183</f>
        <v>465</v>
      </c>
      <c r="I35" s="80">
        <f>I183</f>
        <v>261</v>
      </c>
      <c r="J35" s="54">
        <f t="shared" si="2"/>
        <v>150</v>
      </c>
      <c r="K35" s="54">
        <f t="shared" si="2"/>
        <v>150</v>
      </c>
      <c r="L35" s="54">
        <f t="shared" si="2"/>
        <v>150</v>
      </c>
      <c r="M35" s="54">
        <f t="shared" si="2"/>
        <v>150</v>
      </c>
      <c r="N35" s="54">
        <f t="shared" si="2"/>
        <v>150</v>
      </c>
      <c r="O35" s="1"/>
      <c r="P35" s="1"/>
      <c r="Q35" s="1"/>
    </row>
    <row r="36" spans="2:17">
      <c r="B36" s="1"/>
      <c r="C36" s="1" t="s">
        <v>209</v>
      </c>
      <c r="D36" s="1" t="s">
        <v>191</v>
      </c>
      <c r="E36" s="78">
        <f>E192/E158</f>
        <v>9.4690644401627055E-2</v>
      </c>
      <c r="F36" s="78">
        <f>F192/F158</f>
        <v>6.3143097018568059E-2</v>
      </c>
      <c r="G36" s="78">
        <f>G192/G158</f>
        <v>3.3526731825084692E-2</v>
      </c>
      <c r="H36" s="78">
        <f>H192/H158</f>
        <v>3.6429203826470018E-2</v>
      </c>
      <c r="I36" s="78">
        <f>I192/I158</f>
        <v>3.1553084184663134E-2</v>
      </c>
      <c r="J36" s="51">
        <f t="shared" si="2"/>
        <v>0.03</v>
      </c>
      <c r="K36" s="51">
        <f t="shared" si="2"/>
        <v>2.9000000000000001E-2</v>
      </c>
      <c r="L36" s="51">
        <f t="shared" si="2"/>
        <v>2.8000000000000001E-2</v>
      </c>
      <c r="M36" s="51">
        <f t="shared" si="2"/>
        <v>2.7E-2</v>
      </c>
      <c r="N36" s="51">
        <f t="shared" si="2"/>
        <v>2.5999999999999999E-2</v>
      </c>
      <c r="O36" s="1"/>
      <c r="P36" s="1"/>
      <c r="Q36" s="1"/>
    </row>
    <row r="37" spans="2:17">
      <c r="B37" s="1"/>
      <c r="C37" s="1" t="s">
        <v>210</v>
      </c>
      <c r="D37" s="1" t="s">
        <v>191</v>
      </c>
      <c r="E37" s="81">
        <f>E197/E158</f>
        <v>6.2641832584029111E-2</v>
      </c>
      <c r="F37" s="81">
        <f>F197/F158</f>
        <v>5.7070894429583928E-2</v>
      </c>
      <c r="G37" s="81">
        <f>G197/G158</f>
        <v>5.2918500058408938E-2</v>
      </c>
      <c r="H37" s="81">
        <f>H197/H158</f>
        <v>5.8563130277051977E-2</v>
      </c>
      <c r="I37" s="81">
        <f>I197/I158</f>
        <v>6.1166429587482217E-2</v>
      </c>
      <c r="J37" s="51">
        <f t="shared" si="2"/>
        <v>0.06</v>
      </c>
      <c r="K37" s="51">
        <f t="shared" si="2"/>
        <v>5.8000000000000003E-2</v>
      </c>
      <c r="L37" s="51">
        <f t="shared" si="2"/>
        <v>5.6000000000000001E-2</v>
      </c>
      <c r="M37" s="51">
        <f t="shared" si="2"/>
        <v>5.3999999999999999E-2</v>
      </c>
      <c r="N37" s="51">
        <f t="shared" si="2"/>
        <v>5.1999999999999998E-2</v>
      </c>
      <c r="O37" s="1"/>
      <c r="P37" s="1"/>
      <c r="Q37" s="1"/>
    </row>
    <row r="38" spans="2:17">
      <c r="B38" s="1"/>
      <c r="C38" s="1"/>
      <c r="D38" s="1"/>
      <c r="E38" s="1"/>
      <c r="F38" s="1"/>
      <c r="G38" s="1"/>
      <c r="H38" s="1"/>
      <c r="I38" s="1"/>
      <c r="J38" s="1"/>
      <c r="K38" s="1"/>
      <c r="L38" s="1"/>
      <c r="M38" s="1"/>
      <c r="N38" s="1"/>
      <c r="O38" s="1"/>
      <c r="P38" s="1"/>
      <c r="Q38" s="1"/>
    </row>
    <row r="39" spans="2:17">
      <c r="B39" s="1"/>
      <c r="C39" s="1"/>
      <c r="D39" s="1"/>
      <c r="E39" s="1"/>
      <c r="F39" s="1"/>
      <c r="G39" s="1"/>
      <c r="H39" s="1"/>
      <c r="I39" s="1"/>
      <c r="J39" s="1"/>
      <c r="K39" s="1"/>
      <c r="L39" s="1"/>
      <c r="M39" s="1"/>
      <c r="N39" s="1"/>
      <c r="O39" s="1"/>
      <c r="P39" s="1"/>
      <c r="Q39" s="1"/>
    </row>
    <row r="40" spans="2:17">
      <c r="B40" s="1"/>
      <c r="C40" s="1"/>
      <c r="D40" s="1"/>
      <c r="E40" s="1"/>
      <c r="F40" s="1"/>
      <c r="G40" s="1"/>
      <c r="H40" s="1"/>
      <c r="I40" s="1"/>
      <c r="J40" s="1"/>
      <c r="K40" s="1"/>
      <c r="L40" s="1"/>
      <c r="M40" s="1"/>
      <c r="N40" s="1"/>
      <c r="O40" s="1"/>
      <c r="P40" s="1"/>
      <c r="Q40" s="1"/>
    </row>
    <row r="41" spans="2:17">
      <c r="B41" s="1"/>
      <c r="C41" s="1"/>
      <c r="D41" s="1"/>
      <c r="E41" s="1"/>
      <c r="F41" s="1"/>
      <c r="G41" s="1"/>
      <c r="H41" s="1"/>
      <c r="I41" s="1"/>
      <c r="J41" s="1"/>
      <c r="K41" s="1"/>
      <c r="L41" s="1"/>
      <c r="M41" s="1"/>
      <c r="N41" s="1"/>
      <c r="O41" s="1"/>
      <c r="P41" s="1"/>
      <c r="Q41" s="1"/>
    </row>
    <row r="42" spans="2:17">
      <c r="B42" s="1"/>
      <c r="C42" s="1"/>
      <c r="D42" s="1"/>
      <c r="E42" s="1"/>
      <c r="F42" s="1"/>
      <c r="G42" s="1"/>
      <c r="H42" s="1"/>
      <c r="I42" s="1"/>
      <c r="J42" s="1"/>
      <c r="K42" s="1"/>
      <c r="L42" s="1"/>
      <c r="M42" s="1"/>
      <c r="N42" s="1"/>
      <c r="O42" s="1"/>
      <c r="P42" s="1"/>
      <c r="Q42" s="1"/>
    </row>
    <row r="43" spans="2:17">
      <c r="B43" s="1"/>
      <c r="C43" s="1"/>
      <c r="D43" s="1"/>
      <c r="E43" s="1"/>
      <c r="F43" s="1"/>
      <c r="G43" s="1"/>
      <c r="H43" s="1"/>
      <c r="I43" s="1"/>
      <c r="J43" s="1"/>
      <c r="K43" s="1"/>
      <c r="L43" s="1"/>
      <c r="M43" s="1"/>
      <c r="N43" s="1"/>
      <c r="O43" s="1"/>
      <c r="P43" s="1"/>
      <c r="Q43" s="1"/>
    </row>
    <row r="44" spans="2:17">
      <c r="B44" s="1"/>
      <c r="C44" s="1"/>
      <c r="D44" s="1"/>
      <c r="E44" s="1"/>
      <c r="F44" s="1"/>
      <c r="G44" s="1"/>
      <c r="H44" s="1"/>
      <c r="I44" s="1"/>
      <c r="J44" s="1"/>
      <c r="K44" s="1"/>
      <c r="L44" s="1"/>
      <c r="M44" s="1"/>
      <c r="N44" s="1"/>
      <c r="O44" s="1"/>
      <c r="P44" s="1"/>
      <c r="Q44" s="1"/>
    </row>
    <row r="45" spans="2:17" ht="21" customHeight="1">
      <c r="B45" s="177" t="s">
        <v>211</v>
      </c>
      <c r="C45" s="177"/>
      <c r="D45" s="177"/>
      <c r="E45" s="177"/>
      <c r="F45" s="177"/>
      <c r="G45" s="177"/>
      <c r="H45" s="177"/>
      <c r="I45" s="177"/>
      <c r="J45" s="177"/>
      <c r="K45" s="177"/>
      <c r="L45" s="177"/>
      <c r="M45" s="177"/>
      <c r="N45" s="177"/>
      <c r="O45" s="1"/>
      <c r="P45" s="1"/>
      <c r="Q45" s="1"/>
    </row>
    <row r="46" spans="2:17">
      <c r="B46" s="1"/>
      <c r="C46" s="1"/>
      <c r="D46" s="1"/>
      <c r="E46" s="1"/>
      <c r="F46" s="1"/>
      <c r="G46" s="1"/>
      <c r="H46" s="1"/>
      <c r="I46" s="1"/>
      <c r="J46" s="49" t="s">
        <v>100</v>
      </c>
      <c r="K46" s="49" t="s">
        <v>101</v>
      </c>
      <c r="L46" s="49" t="s">
        <v>102</v>
      </c>
      <c r="M46" s="49" t="s">
        <v>103</v>
      </c>
      <c r="N46" s="49" t="s">
        <v>104</v>
      </c>
      <c r="O46" s="1"/>
      <c r="P46" s="1"/>
      <c r="Q46" s="1"/>
    </row>
    <row r="47" spans="2:17">
      <c r="B47" s="1"/>
      <c r="C47" s="1" t="s">
        <v>124</v>
      </c>
      <c r="D47" s="1" t="s">
        <v>191</v>
      </c>
      <c r="E47" s="1"/>
      <c r="F47" s="1"/>
      <c r="G47" s="1"/>
      <c r="H47" s="1"/>
      <c r="I47" s="1"/>
      <c r="J47" s="52">
        <v>-0.02</v>
      </c>
      <c r="K47" s="52">
        <v>0</v>
      </c>
      <c r="L47" s="52">
        <v>0.02</v>
      </c>
      <c r="M47" s="52">
        <v>0.03</v>
      </c>
      <c r="N47" s="52">
        <v>0.03</v>
      </c>
      <c r="O47" s="1"/>
      <c r="P47" s="1"/>
      <c r="Q47" s="1"/>
    </row>
    <row r="48" spans="2:17">
      <c r="B48" s="1"/>
      <c r="C48" s="1" t="s">
        <v>128</v>
      </c>
      <c r="D48" s="1" t="s">
        <v>191</v>
      </c>
      <c r="E48" s="1"/>
      <c r="F48" s="1"/>
      <c r="G48" s="1"/>
      <c r="H48" s="1"/>
      <c r="I48" s="1"/>
      <c r="J48" s="52">
        <v>0.42</v>
      </c>
      <c r="K48" s="52">
        <v>0.42199999999999999</v>
      </c>
      <c r="L48" s="52">
        <v>0.42499999999999999</v>
      </c>
      <c r="M48" s="52">
        <v>0.42799999999999999</v>
      </c>
      <c r="N48" s="52">
        <v>0.43</v>
      </c>
      <c r="O48" s="1"/>
      <c r="P48" s="1"/>
      <c r="Q48" s="1"/>
    </row>
    <row r="49" spans="2:17">
      <c r="B49" s="1"/>
      <c r="C49" s="1" t="s">
        <v>192</v>
      </c>
      <c r="D49" s="1" t="s">
        <v>191</v>
      </c>
      <c r="E49" s="1"/>
      <c r="F49" s="1"/>
      <c r="G49" s="1"/>
      <c r="H49" s="1"/>
      <c r="I49" s="1"/>
      <c r="J49" s="52">
        <v>0.105</v>
      </c>
      <c r="K49" s="52">
        <v>0.104</v>
      </c>
      <c r="L49" s="52">
        <v>0.10299999999999999</v>
      </c>
      <c r="M49" s="52">
        <v>0.10199999999999999</v>
      </c>
      <c r="N49" s="52">
        <v>0.10100000000000001</v>
      </c>
      <c r="O49" s="1"/>
      <c r="P49" s="1"/>
      <c r="Q49" s="1"/>
    </row>
    <row r="50" spans="2:17">
      <c r="B50" s="1"/>
      <c r="C50" s="1" t="s">
        <v>193</v>
      </c>
      <c r="D50" s="1" t="s">
        <v>191</v>
      </c>
      <c r="E50" s="1"/>
      <c r="F50" s="1"/>
      <c r="G50" s="1"/>
      <c r="H50" s="1"/>
      <c r="I50" s="1"/>
      <c r="J50" s="52">
        <v>0.25</v>
      </c>
      <c r="K50" s="52">
        <v>0.248</v>
      </c>
      <c r="L50" s="52">
        <v>0.245</v>
      </c>
      <c r="M50" s="52">
        <v>0.24199999999999999</v>
      </c>
      <c r="N50" s="52">
        <v>0.24</v>
      </c>
      <c r="O50" s="1"/>
      <c r="P50" s="1"/>
      <c r="Q50" s="1"/>
    </row>
    <row r="51" spans="2:17">
      <c r="B51" s="1"/>
      <c r="C51" s="1" t="s">
        <v>194</v>
      </c>
      <c r="D51" s="1" t="s">
        <v>195</v>
      </c>
      <c r="E51" s="1"/>
      <c r="F51" s="1"/>
      <c r="G51" s="1"/>
      <c r="H51" s="1"/>
      <c r="I51" s="1"/>
      <c r="J51" s="50">
        <v>47</v>
      </c>
      <c r="K51" s="50">
        <v>46</v>
      </c>
      <c r="L51" s="50">
        <v>45</v>
      </c>
      <c r="M51" s="50">
        <v>44</v>
      </c>
      <c r="N51" s="50">
        <v>43</v>
      </c>
      <c r="O51" s="1"/>
      <c r="P51" s="1"/>
      <c r="Q51" s="1"/>
    </row>
    <row r="52" spans="2:17">
      <c r="B52" s="1"/>
      <c r="C52" s="1" t="s">
        <v>196</v>
      </c>
      <c r="D52" s="1" t="s">
        <v>195</v>
      </c>
      <c r="E52" s="1"/>
      <c r="F52" s="1"/>
      <c r="G52" s="1"/>
      <c r="H52" s="1"/>
      <c r="I52" s="1"/>
      <c r="J52" s="50">
        <v>108</v>
      </c>
      <c r="K52" s="50">
        <v>106</v>
      </c>
      <c r="L52" s="50">
        <v>104</v>
      </c>
      <c r="M52" s="50">
        <v>102</v>
      </c>
      <c r="N52" s="50">
        <v>100</v>
      </c>
      <c r="O52" s="1"/>
      <c r="P52" s="1"/>
      <c r="Q52" s="1"/>
    </row>
    <row r="53" spans="2:17">
      <c r="B53" s="1"/>
      <c r="C53" s="1" t="s">
        <v>197</v>
      </c>
      <c r="D53" s="1" t="s">
        <v>195</v>
      </c>
      <c r="E53" s="1"/>
      <c r="F53" s="1"/>
      <c r="G53" s="1"/>
      <c r="H53" s="1"/>
      <c r="I53" s="1"/>
      <c r="J53" s="50">
        <v>47</v>
      </c>
      <c r="K53" s="50">
        <v>47</v>
      </c>
      <c r="L53" s="50">
        <v>48</v>
      </c>
      <c r="M53" s="50">
        <v>48</v>
      </c>
      <c r="N53" s="50">
        <v>49</v>
      </c>
      <c r="O53" s="1"/>
      <c r="P53" s="1"/>
      <c r="Q53" s="1"/>
    </row>
    <row r="54" spans="2:17">
      <c r="B54" s="1"/>
      <c r="C54" s="1" t="s">
        <v>198</v>
      </c>
      <c r="D54" s="1" t="s">
        <v>191</v>
      </c>
      <c r="E54" s="1"/>
      <c r="F54" s="1"/>
      <c r="G54" s="1"/>
      <c r="H54" s="1"/>
      <c r="I54" s="1"/>
      <c r="J54" s="52">
        <v>4.7E-2</v>
      </c>
      <c r="K54" s="52">
        <v>4.5999999999999999E-2</v>
      </c>
      <c r="L54" s="52">
        <v>4.4999999999999998E-2</v>
      </c>
      <c r="M54" s="52">
        <v>4.3999999999999997E-2</v>
      </c>
      <c r="N54" s="52">
        <v>4.2999999999999997E-2</v>
      </c>
      <c r="O54" s="1"/>
      <c r="P54" s="1"/>
      <c r="Q54" s="1"/>
    </row>
    <row r="55" spans="2:17">
      <c r="B55" s="1"/>
      <c r="C55" s="1" t="s">
        <v>199</v>
      </c>
      <c r="D55" s="1" t="s">
        <v>191</v>
      </c>
      <c r="E55" s="1"/>
      <c r="F55" s="1"/>
      <c r="G55" s="1"/>
      <c r="H55" s="1"/>
      <c r="I55" s="1"/>
      <c r="J55" s="52">
        <v>0.125</v>
      </c>
      <c r="K55" s="52">
        <v>0.123</v>
      </c>
      <c r="L55" s="52">
        <v>0.121</v>
      </c>
      <c r="M55" s="52">
        <v>0.11899999999999999</v>
      </c>
      <c r="N55" s="52">
        <v>0.11700000000000001</v>
      </c>
      <c r="O55" s="1"/>
      <c r="P55" s="1"/>
      <c r="Q55" s="1"/>
    </row>
    <row r="56" spans="2:17">
      <c r="B56" s="1"/>
      <c r="C56" s="1" t="s">
        <v>200</v>
      </c>
      <c r="D56" s="1" t="s">
        <v>191</v>
      </c>
      <c r="E56" s="1"/>
      <c r="F56" s="1"/>
      <c r="G56" s="1"/>
      <c r="H56" s="1"/>
      <c r="I56" s="1"/>
      <c r="J56" s="52">
        <v>0.13500000000000001</v>
      </c>
      <c r="K56" s="52">
        <v>0.13400000000000001</v>
      </c>
      <c r="L56" s="52">
        <v>0.13300000000000001</v>
      </c>
      <c r="M56" s="52">
        <v>0.13200000000000001</v>
      </c>
      <c r="N56" s="52">
        <v>0.13100000000000001</v>
      </c>
      <c r="O56" s="1"/>
      <c r="P56" s="1"/>
      <c r="Q56" s="1"/>
    </row>
    <row r="57" spans="2:17">
      <c r="B57" s="1"/>
      <c r="C57" s="1" t="s">
        <v>201</v>
      </c>
      <c r="D57" s="1" t="s">
        <v>191</v>
      </c>
      <c r="E57" s="1"/>
      <c r="F57" s="1"/>
      <c r="G57" s="1"/>
      <c r="H57" s="1"/>
      <c r="I57" s="1"/>
      <c r="J57" s="52">
        <v>5.5E-2</v>
      </c>
      <c r="K57" s="52">
        <v>5.3999999999999999E-2</v>
      </c>
      <c r="L57" s="52">
        <v>5.2999999999999999E-2</v>
      </c>
      <c r="M57" s="52">
        <v>5.1999999999999998E-2</v>
      </c>
      <c r="N57" s="52">
        <v>5.0999999999999997E-2</v>
      </c>
      <c r="O57" s="1"/>
      <c r="P57" s="1"/>
      <c r="Q57" s="1"/>
    </row>
    <row r="58" spans="2:17">
      <c r="B58" s="1"/>
      <c r="C58" s="1" t="s">
        <v>130</v>
      </c>
      <c r="D58" s="1" t="s">
        <v>191</v>
      </c>
      <c r="E58" s="1"/>
      <c r="F58" s="1"/>
      <c r="G58" s="1"/>
      <c r="H58" s="1"/>
      <c r="I58" s="1"/>
      <c r="J58" s="52">
        <v>1.6E-2</v>
      </c>
      <c r="K58" s="52">
        <v>1.6E-2</v>
      </c>
      <c r="L58" s="52">
        <v>1.6E-2</v>
      </c>
      <c r="M58" s="52">
        <v>1.6E-2</v>
      </c>
      <c r="N58" s="52">
        <v>1.6E-2</v>
      </c>
      <c r="O58" s="1"/>
      <c r="P58" s="1"/>
      <c r="Q58" s="1"/>
    </row>
    <row r="59" spans="2:17">
      <c r="B59" s="1"/>
      <c r="C59" s="1" t="s">
        <v>202</v>
      </c>
      <c r="D59" s="1" t="s">
        <v>191</v>
      </c>
      <c r="E59" s="1"/>
      <c r="F59" s="1"/>
      <c r="G59" s="1"/>
      <c r="H59" s="1"/>
      <c r="I59" s="1"/>
      <c r="J59" s="52">
        <v>1.6E-2</v>
      </c>
      <c r="K59" s="52">
        <v>1.6E-2</v>
      </c>
      <c r="L59" s="52">
        <v>1.6E-2</v>
      </c>
      <c r="M59" s="52">
        <v>1.6E-2</v>
      </c>
      <c r="N59" s="52">
        <v>1.6E-2</v>
      </c>
      <c r="O59" s="1"/>
      <c r="P59" s="1"/>
      <c r="Q59" s="1"/>
    </row>
    <row r="60" spans="2:17">
      <c r="B60" s="1"/>
      <c r="C60" s="1" t="s">
        <v>203</v>
      </c>
      <c r="D60" s="1" t="s">
        <v>191</v>
      </c>
      <c r="E60" s="1"/>
      <c r="F60" s="1"/>
      <c r="G60" s="1"/>
      <c r="H60" s="1"/>
      <c r="I60" s="1"/>
      <c r="J60" s="52">
        <v>1.4999999999999999E-2</v>
      </c>
      <c r="K60" s="52">
        <v>1.4999999999999999E-2</v>
      </c>
      <c r="L60" s="52">
        <v>1.4999999999999999E-2</v>
      </c>
      <c r="M60" s="52">
        <v>1.4999999999999999E-2</v>
      </c>
      <c r="N60" s="52">
        <v>1.4999999999999999E-2</v>
      </c>
      <c r="O60" s="1"/>
      <c r="P60" s="1"/>
      <c r="Q60" s="1"/>
    </row>
    <row r="61" spans="2:17">
      <c r="B61" s="1"/>
      <c r="C61" s="1" t="s">
        <v>204</v>
      </c>
      <c r="D61" s="1" t="s">
        <v>191</v>
      </c>
      <c r="E61" s="1"/>
      <c r="F61" s="1"/>
      <c r="G61" s="1"/>
      <c r="H61" s="1"/>
      <c r="I61" s="1"/>
      <c r="J61" s="52">
        <v>0.8</v>
      </c>
      <c r="K61" s="52">
        <v>0.8</v>
      </c>
      <c r="L61" s="52">
        <v>0.8</v>
      </c>
      <c r="M61" s="52">
        <v>0.8</v>
      </c>
      <c r="N61" s="52">
        <v>0.8</v>
      </c>
      <c r="O61" s="1"/>
      <c r="P61" s="1"/>
      <c r="Q61" s="1"/>
    </row>
    <row r="62" spans="2:17">
      <c r="B62" s="1"/>
      <c r="C62" s="1" t="s">
        <v>205</v>
      </c>
      <c r="D62" s="1" t="s">
        <v>206</v>
      </c>
      <c r="E62" s="1"/>
      <c r="F62" s="1"/>
      <c r="G62" s="1"/>
      <c r="H62" s="1"/>
      <c r="I62" s="1"/>
      <c r="J62" s="50">
        <v>0</v>
      </c>
      <c r="K62" s="50">
        <v>0</v>
      </c>
      <c r="L62" s="50">
        <v>0</v>
      </c>
      <c r="M62" s="50">
        <v>0</v>
      </c>
      <c r="N62" s="50">
        <v>0</v>
      </c>
      <c r="O62" s="1"/>
      <c r="P62" s="1"/>
      <c r="Q62" s="1"/>
    </row>
    <row r="63" spans="2:17">
      <c r="B63" s="1"/>
      <c r="C63" s="1" t="s">
        <v>207</v>
      </c>
      <c r="D63" s="1" t="s">
        <v>206</v>
      </c>
      <c r="E63" s="1"/>
      <c r="F63" s="1"/>
      <c r="G63" s="1"/>
      <c r="H63" s="1"/>
      <c r="I63" s="1"/>
      <c r="J63" s="50">
        <v>250</v>
      </c>
      <c r="K63" s="50">
        <v>250</v>
      </c>
      <c r="L63" s="50">
        <v>250</v>
      </c>
      <c r="M63" s="50">
        <v>250</v>
      </c>
      <c r="N63" s="50">
        <v>250</v>
      </c>
      <c r="O63" s="1"/>
      <c r="P63" s="1"/>
      <c r="Q63" s="1"/>
    </row>
    <row r="64" spans="2:17">
      <c r="B64" s="1"/>
      <c r="C64" s="1" t="s">
        <v>208</v>
      </c>
      <c r="D64" s="1" t="s">
        <v>206</v>
      </c>
      <c r="E64" s="1"/>
      <c r="F64" s="1"/>
      <c r="G64" s="1"/>
      <c r="H64" s="1"/>
      <c r="I64" s="1"/>
      <c r="J64" s="50">
        <v>100</v>
      </c>
      <c r="K64" s="50">
        <v>100</v>
      </c>
      <c r="L64" s="50">
        <v>100</v>
      </c>
      <c r="M64" s="50">
        <v>100</v>
      </c>
      <c r="N64" s="50">
        <v>100</v>
      </c>
      <c r="O64" s="1"/>
      <c r="P64" s="1"/>
      <c r="Q64" s="1"/>
    </row>
    <row r="65" spans="2:17">
      <c r="B65" s="1"/>
      <c r="C65" s="1" t="s">
        <v>209</v>
      </c>
      <c r="D65" s="1" t="s">
        <v>191</v>
      </c>
      <c r="E65" s="1"/>
      <c r="F65" s="1"/>
      <c r="G65" s="1"/>
      <c r="H65" s="1"/>
      <c r="I65" s="1"/>
      <c r="J65" s="52">
        <v>3.2000000000000001E-2</v>
      </c>
      <c r="K65" s="52">
        <v>3.2000000000000001E-2</v>
      </c>
      <c r="L65" s="52">
        <v>3.2000000000000001E-2</v>
      </c>
      <c r="M65" s="52">
        <v>3.2000000000000001E-2</v>
      </c>
      <c r="N65" s="52">
        <v>3.2000000000000001E-2</v>
      </c>
      <c r="O65" s="1"/>
      <c r="P65" s="1"/>
      <c r="Q65" s="1"/>
    </row>
    <row r="66" spans="2:17">
      <c r="B66" s="1"/>
      <c r="C66" s="1" t="s">
        <v>210</v>
      </c>
      <c r="D66" s="1" t="s">
        <v>191</v>
      </c>
      <c r="E66" s="1"/>
      <c r="F66" s="1"/>
      <c r="G66" s="1"/>
      <c r="H66" s="1"/>
      <c r="I66" s="1"/>
      <c r="J66" s="52">
        <v>6.0999999999999999E-2</v>
      </c>
      <c r="K66" s="52">
        <v>6.0999999999999999E-2</v>
      </c>
      <c r="L66" s="52">
        <v>6.0999999999999999E-2</v>
      </c>
      <c r="M66" s="52">
        <v>6.0999999999999999E-2</v>
      </c>
      <c r="N66" s="52">
        <v>6.0999999999999999E-2</v>
      </c>
      <c r="O66" s="1"/>
      <c r="P66" s="1"/>
      <c r="Q66" s="1"/>
    </row>
    <row r="67" spans="2:17">
      <c r="B67" s="1"/>
      <c r="C67" s="1"/>
      <c r="D67" s="1"/>
      <c r="E67" s="1"/>
      <c r="F67" s="1"/>
      <c r="G67" s="1"/>
      <c r="H67" s="1"/>
      <c r="I67" s="1"/>
      <c r="J67" s="1"/>
      <c r="K67" s="1"/>
      <c r="L67" s="1"/>
      <c r="M67" s="1"/>
      <c r="N67" s="1"/>
      <c r="O67" s="1"/>
      <c r="P67" s="1"/>
      <c r="Q67" s="1"/>
    </row>
    <row r="68" spans="2:17" ht="21" customHeight="1">
      <c r="B68" s="177" t="s">
        <v>212</v>
      </c>
      <c r="C68" s="177"/>
      <c r="D68" s="177"/>
      <c r="E68" s="177"/>
      <c r="F68" s="177"/>
      <c r="G68" s="177"/>
      <c r="H68" s="177"/>
      <c r="I68" s="177"/>
      <c r="J68" s="177"/>
      <c r="K68" s="177"/>
      <c r="L68" s="177"/>
      <c r="M68" s="177"/>
      <c r="N68" s="177"/>
      <c r="O68" s="1"/>
      <c r="P68" s="1"/>
      <c r="Q68" s="1"/>
    </row>
    <row r="69" spans="2:17">
      <c r="B69" s="1"/>
      <c r="C69" s="1"/>
      <c r="D69" s="1"/>
      <c r="E69" s="1"/>
      <c r="F69" s="1"/>
      <c r="G69" s="1"/>
      <c r="H69" s="1"/>
      <c r="I69" s="1"/>
      <c r="J69" s="49" t="s">
        <v>100</v>
      </c>
      <c r="K69" s="49" t="s">
        <v>101</v>
      </c>
      <c r="L69" s="49" t="s">
        <v>102</v>
      </c>
      <c r="M69" s="49" t="s">
        <v>103</v>
      </c>
      <c r="N69" s="49" t="s">
        <v>104</v>
      </c>
      <c r="O69" s="1"/>
      <c r="P69" s="1"/>
      <c r="Q69" s="1"/>
    </row>
    <row r="70" spans="2:17">
      <c r="B70" s="1"/>
      <c r="C70" s="1" t="s">
        <v>124</v>
      </c>
      <c r="D70" s="1" t="s">
        <v>191</v>
      </c>
      <c r="E70" s="1"/>
      <c r="F70" s="1"/>
      <c r="G70" s="1"/>
      <c r="H70" s="1"/>
      <c r="I70" s="1"/>
      <c r="J70" s="52">
        <v>0.01</v>
      </c>
      <c r="K70" s="52">
        <v>0.02</v>
      </c>
      <c r="L70" s="52">
        <v>0.03</v>
      </c>
      <c r="M70" s="52">
        <v>3.5000000000000003E-2</v>
      </c>
      <c r="N70" s="52">
        <v>3.5000000000000003E-2</v>
      </c>
      <c r="O70" s="1"/>
      <c r="P70" s="1"/>
      <c r="Q70" s="1"/>
    </row>
    <row r="71" spans="2:17">
      <c r="B71" s="1"/>
      <c r="C71" s="1" t="s">
        <v>128</v>
      </c>
      <c r="D71" s="1" t="s">
        <v>191</v>
      </c>
      <c r="E71" s="1"/>
      <c r="F71" s="1"/>
      <c r="G71" s="1"/>
      <c r="H71" s="1"/>
      <c r="I71" s="1"/>
      <c r="J71" s="52">
        <v>0.42599999999999999</v>
      </c>
      <c r="K71" s="52">
        <v>0.42799999999999999</v>
      </c>
      <c r="L71" s="52">
        <v>0.43</v>
      </c>
      <c r="M71" s="52">
        <v>0.432</v>
      </c>
      <c r="N71" s="52">
        <v>0.434</v>
      </c>
      <c r="O71" s="1"/>
      <c r="P71" s="1"/>
      <c r="Q71" s="1"/>
    </row>
    <row r="72" spans="2:17">
      <c r="B72" s="1"/>
      <c r="C72" s="1" t="s">
        <v>192</v>
      </c>
      <c r="D72" s="1" t="s">
        <v>191</v>
      </c>
      <c r="E72" s="1"/>
      <c r="F72" s="1"/>
      <c r="G72" s="1"/>
      <c r="H72" s="1"/>
      <c r="I72" s="1"/>
      <c r="J72" s="52">
        <v>0.104</v>
      </c>
      <c r="K72" s="52">
        <v>0.10299999999999999</v>
      </c>
      <c r="L72" s="52">
        <v>0.10199999999999999</v>
      </c>
      <c r="M72" s="52">
        <v>0.10100000000000001</v>
      </c>
      <c r="N72" s="52">
        <v>0.1</v>
      </c>
      <c r="O72" s="1"/>
      <c r="P72" s="1"/>
      <c r="Q72" s="1"/>
    </row>
    <row r="73" spans="2:17">
      <c r="B73" s="1"/>
      <c r="C73" s="1" t="s">
        <v>193</v>
      </c>
      <c r="D73" s="1" t="s">
        <v>191</v>
      </c>
      <c r="E73" s="1"/>
      <c r="F73" s="1"/>
      <c r="G73" s="1"/>
      <c r="H73" s="1"/>
      <c r="I73" s="1"/>
      <c r="J73" s="52">
        <v>0.248</v>
      </c>
      <c r="K73" s="52">
        <v>0.245</v>
      </c>
      <c r="L73" s="52">
        <v>0.24199999999999999</v>
      </c>
      <c r="M73" s="52">
        <v>0.23899999999999999</v>
      </c>
      <c r="N73" s="52">
        <v>0.23699999999999999</v>
      </c>
      <c r="O73" s="1"/>
      <c r="P73" s="1"/>
      <c r="Q73" s="1"/>
    </row>
    <row r="74" spans="2:17">
      <c r="B74" s="1"/>
      <c r="C74" s="1" t="s">
        <v>194</v>
      </c>
      <c r="D74" s="1" t="s">
        <v>195</v>
      </c>
      <c r="E74" s="1"/>
      <c r="F74" s="1"/>
      <c r="G74" s="1"/>
      <c r="H74" s="1"/>
      <c r="I74" s="1"/>
      <c r="J74" s="50">
        <v>45</v>
      </c>
      <c r="K74" s="50">
        <v>44</v>
      </c>
      <c r="L74" s="50">
        <v>43</v>
      </c>
      <c r="M74" s="50">
        <v>42</v>
      </c>
      <c r="N74" s="50">
        <v>42</v>
      </c>
      <c r="O74" s="1"/>
      <c r="P74" s="1"/>
      <c r="Q74" s="1"/>
    </row>
    <row r="75" spans="2:17">
      <c r="B75" s="1"/>
      <c r="C75" s="1" t="s">
        <v>196</v>
      </c>
      <c r="D75" s="1" t="s">
        <v>195</v>
      </c>
      <c r="E75" s="1"/>
      <c r="F75" s="1"/>
      <c r="G75" s="1"/>
      <c r="H75" s="1"/>
      <c r="I75" s="1"/>
      <c r="J75" s="50">
        <v>104</v>
      </c>
      <c r="K75" s="50">
        <v>102</v>
      </c>
      <c r="L75" s="50">
        <v>100</v>
      </c>
      <c r="M75" s="50">
        <v>98</v>
      </c>
      <c r="N75" s="50">
        <v>97</v>
      </c>
      <c r="O75" s="1"/>
      <c r="P75" s="1"/>
      <c r="Q75" s="1"/>
    </row>
    <row r="76" spans="2:17">
      <c r="B76" s="1"/>
      <c r="C76" s="1" t="s">
        <v>197</v>
      </c>
      <c r="D76" s="1" t="s">
        <v>195</v>
      </c>
      <c r="E76" s="1"/>
      <c r="F76" s="1"/>
      <c r="G76" s="1"/>
      <c r="H76" s="1"/>
      <c r="I76" s="1"/>
      <c r="J76" s="50">
        <v>48</v>
      </c>
      <c r="K76" s="50">
        <v>48</v>
      </c>
      <c r="L76" s="50">
        <v>49</v>
      </c>
      <c r="M76" s="50">
        <v>49</v>
      </c>
      <c r="N76" s="50">
        <v>50</v>
      </c>
      <c r="O76" s="1"/>
      <c r="P76" s="1"/>
      <c r="Q76" s="1"/>
    </row>
    <row r="77" spans="2:17">
      <c r="B77" s="1"/>
      <c r="C77" s="1" t="s">
        <v>198</v>
      </c>
      <c r="D77" s="1" t="s">
        <v>191</v>
      </c>
      <c r="E77" s="1"/>
      <c r="F77" s="1"/>
      <c r="G77" s="1"/>
      <c r="H77" s="1"/>
      <c r="I77" s="1"/>
      <c r="J77" s="52">
        <v>4.5999999999999999E-2</v>
      </c>
      <c r="K77" s="52">
        <v>4.4999999999999998E-2</v>
      </c>
      <c r="L77" s="52">
        <v>4.3999999999999997E-2</v>
      </c>
      <c r="M77" s="52">
        <v>4.2999999999999997E-2</v>
      </c>
      <c r="N77" s="52">
        <v>4.2000000000000003E-2</v>
      </c>
      <c r="O77" s="1"/>
      <c r="P77" s="1"/>
      <c r="Q77" s="1"/>
    </row>
    <row r="78" spans="2:17">
      <c r="B78" s="1"/>
      <c r="C78" s="1" t="s">
        <v>199</v>
      </c>
      <c r="D78" s="1" t="s">
        <v>191</v>
      </c>
      <c r="E78" s="1"/>
      <c r="F78" s="1"/>
      <c r="G78" s="1"/>
      <c r="H78" s="1"/>
      <c r="I78" s="1"/>
      <c r="J78" s="52">
        <v>0.123</v>
      </c>
      <c r="K78" s="52">
        <v>0.121</v>
      </c>
      <c r="L78" s="52">
        <v>0.11899999999999999</v>
      </c>
      <c r="M78" s="52">
        <v>0.11700000000000001</v>
      </c>
      <c r="N78" s="52">
        <v>0.115</v>
      </c>
      <c r="O78" s="1"/>
      <c r="P78" s="1"/>
      <c r="Q78" s="1"/>
    </row>
    <row r="79" spans="2:17">
      <c r="B79" s="1"/>
      <c r="C79" s="1" t="s">
        <v>200</v>
      </c>
      <c r="D79" s="1" t="s">
        <v>191</v>
      </c>
      <c r="E79" s="1"/>
      <c r="F79" s="1"/>
      <c r="G79" s="1"/>
      <c r="H79" s="1"/>
      <c r="I79" s="1"/>
      <c r="J79" s="52">
        <v>0.13300000000000001</v>
      </c>
      <c r="K79" s="52">
        <v>0.13200000000000001</v>
      </c>
      <c r="L79" s="52">
        <v>0.13100000000000001</v>
      </c>
      <c r="M79" s="52">
        <v>0.13</v>
      </c>
      <c r="N79" s="52">
        <v>0.129</v>
      </c>
      <c r="O79" s="1"/>
      <c r="P79" s="1"/>
      <c r="Q79" s="1"/>
    </row>
    <row r="80" spans="2:17">
      <c r="B80" s="1"/>
      <c r="C80" s="1" t="s">
        <v>201</v>
      </c>
      <c r="D80" s="1" t="s">
        <v>191</v>
      </c>
      <c r="E80" s="1"/>
      <c r="F80" s="1"/>
      <c r="G80" s="1"/>
      <c r="H80" s="1"/>
      <c r="I80" s="1"/>
      <c r="J80" s="52">
        <v>5.3999999999999999E-2</v>
      </c>
      <c r="K80" s="52">
        <v>5.2999999999999999E-2</v>
      </c>
      <c r="L80" s="52">
        <v>5.1999999999999998E-2</v>
      </c>
      <c r="M80" s="52">
        <v>5.0999999999999997E-2</v>
      </c>
      <c r="N80" s="52">
        <v>0.05</v>
      </c>
      <c r="O80" s="1"/>
      <c r="P80" s="1"/>
      <c r="Q80" s="1"/>
    </row>
    <row r="81" spans="2:17">
      <c r="B81" s="1"/>
      <c r="C81" s="1" t="s">
        <v>130</v>
      </c>
      <c r="D81" s="1" t="s">
        <v>191</v>
      </c>
      <c r="E81" s="1"/>
      <c r="F81" s="1"/>
      <c r="G81" s="1"/>
      <c r="H81" s="1"/>
      <c r="I81" s="1"/>
      <c r="J81" s="52">
        <v>1.7000000000000001E-2</v>
      </c>
      <c r="K81" s="52">
        <v>1.7000000000000001E-2</v>
      </c>
      <c r="L81" s="52">
        <v>1.7000000000000001E-2</v>
      </c>
      <c r="M81" s="52">
        <v>1.7000000000000001E-2</v>
      </c>
      <c r="N81" s="52">
        <v>1.7000000000000001E-2</v>
      </c>
      <c r="O81" s="1"/>
      <c r="P81" s="1"/>
      <c r="Q81" s="1"/>
    </row>
    <row r="82" spans="2:17">
      <c r="B82" s="1"/>
      <c r="C82" s="1" t="s">
        <v>202</v>
      </c>
      <c r="D82" s="1" t="s">
        <v>191</v>
      </c>
      <c r="E82" s="1"/>
      <c r="F82" s="1"/>
      <c r="G82" s="1"/>
      <c r="H82" s="1"/>
      <c r="I82" s="1"/>
      <c r="J82" s="52">
        <v>1.6E-2</v>
      </c>
      <c r="K82" s="52">
        <v>1.6E-2</v>
      </c>
      <c r="L82" s="52">
        <v>1.6E-2</v>
      </c>
      <c r="M82" s="52">
        <v>1.6E-2</v>
      </c>
      <c r="N82" s="52">
        <v>1.6E-2</v>
      </c>
      <c r="O82" s="1"/>
      <c r="P82" s="1"/>
      <c r="Q82" s="1"/>
    </row>
    <row r="83" spans="2:17">
      <c r="B83" s="1"/>
      <c r="C83" s="1" t="s">
        <v>203</v>
      </c>
      <c r="D83" s="1" t="s">
        <v>191</v>
      </c>
      <c r="E83" s="1"/>
      <c r="F83" s="1"/>
      <c r="G83" s="1"/>
      <c r="H83" s="1"/>
      <c r="I83" s="1"/>
      <c r="J83" s="52">
        <v>1.4999999999999999E-2</v>
      </c>
      <c r="K83" s="52">
        <v>1.4999999999999999E-2</v>
      </c>
      <c r="L83" s="52">
        <v>1.4999999999999999E-2</v>
      </c>
      <c r="M83" s="52">
        <v>1.4999999999999999E-2</v>
      </c>
      <c r="N83" s="52">
        <v>1.4999999999999999E-2</v>
      </c>
      <c r="O83" s="1"/>
      <c r="P83" s="1"/>
      <c r="Q83" s="1"/>
    </row>
    <row r="84" spans="2:17">
      <c r="B84" s="1"/>
      <c r="C84" s="1" t="s">
        <v>204</v>
      </c>
      <c r="D84" s="1" t="s">
        <v>191</v>
      </c>
      <c r="E84" s="1"/>
      <c r="F84" s="1"/>
      <c r="G84" s="1"/>
      <c r="H84" s="1"/>
      <c r="I84" s="1"/>
      <c r="J84" s="52">
        <v>0.75</v>
      </c>
      <c r="K84" s="52">
        <v>0.75</v>
      </c>
      <c r="L84" s="52">
        <v>0.75</v>
      </c>
      <c r="M84" s="52">
        <v>0.75</v>
      </c>
      <c r="N84" s="52">
        <v>0.75</v>
      </c>
      <c r="O84" s="1"/>
      <c r="P84" s="1"/>
      <c r="Q84" s="1"/>
    </row>
    <row r="85" spans="2:17">
      <c r="B85" s="1"/>
      <c r="C85" s="1" t="s">
        <v>205</v>
      </c>
      <c r="D85" s="1" t="s">
        <v>206</v>
      </c>
      <c r="E85" s="1"/>
      <c r="F85" s="1"/>
      <c r="G85" s="1"/>
      <c r="H85" s="1"/>
      <c r="I85" s="1"/>
      <c r="J85" s="50">
        <v>250</v>
      </c>
      <c r="K85" s="50">
        <v>250</v>
      </c>
      <c r="L85" s="50">
        <v>250</v>
      </c>
      <c r="M85" s="50">
        <v>250</v>
      </c>
      <c r="N85" s="50">
        <v>250</v>
      </c>
      <c r="O85" s="1"/>
      <c r="P85" s="1"/>
      <c r="Q85" s="1"/>
    </row>
    <row r="86" spans="2:17">
      <c r="B86" s="1"/>
      <c r="C86" s="1" t="s">
        <v>207</v>
      </c>
      <c r="D86" s="1" t="s">
        <v>206</v>
      </c>
      <c r="E86" s="1"/>
      <c r="F86" s="1"/>
      <c r="G86" s="1"/>
      <c r="H86" s="1"/>
      <c r="I86" s="1"/>
      <c r="J86" s="50">
        <v>400</v>
      </c>
      <c r="K86" s="50">
        <v>400</v>
      </c>
      <c r="L86" s="50">
        <v>400</v>
      </c>
      <c r="M86" s="50">
        <v>400</v>
      </c>
      <c r="N86" s="50">
        <v>400</v>
      </c>
      <c r="O86" s="1"/>
      <c r="P86" s="1"/>
      <c r="Q86" s="1"/>
    </row>
    <row r="87" spans="2:17">
      <c r="B87" s="1"/>
      <c r="C87" s="1" t="s">
        <v>208</v>
      </c>
      <c r="D87" s="1" t="s">
        <v>206</v>
      </c>
      <c r="E87" s="1"/>
      <c r="F87" s="1"/>
      <c r="G87" s="1"/>
      <c r="H87" s="1"/>
      <c r="I87" s="1"/>
      <c r="J87" s="50">
        <v>125</v>
      </c>
      <c r="K87" s="50">
        <v>125</v>
      </c>
      <c r="L87" s="50">
        <v>125</v>
      </c>
      <c r="M87" s="50">
        <v>125</v>
      </c>
      <c r="N87" s="50">
        <v>125</v>
      </c>
      <c r="O87" s="1"/>
      <c r="P87" s="1"/>
      <c r="Q87" s="1"/>
    </row>
    <row r="88" spans="2:17">
      <c r="B88" s="1"/>
      <c r="C88" s="1" t="s">
        <v>209</v>
      </c>
      <c r="D88" s="1" t="s">
        <v>191</v>
      </c>
      <c r="E88" s="1"/>
      <c r="F88" s="1"/>
      <c r="G88" s="1"/>
      <c r="H88" s="1"/>
      <c r="I88" s="1"/>
      <c r="J88" s="52">
        <v>3.1E-2</v>
      </c>
      <c r="K88" s="52">
        <v>0.03</v>
      </c>
      <c r="L88" s="52">
        <v>0.03</v>
      </c>
      <c r="M88" s="52">
        <v>2.9000000000000001E-2</v>
      </c>
      <c r="N88" s="52">
        <v>2.9000000000000001E-2</v>
      </c>
      <c r="O88" s="1"/>
      <c r="P88" s="1"/>
      <c r="Q88" s="1"/>
    </row>
    <row r="89" spans="2:17">
      <c r="B89" s="1"/>
      <c r="C89" s="1" t="s">
        <v>210</v>
      </c>
      <c r="D89" s="1" t="s">
        <v>191</v>
      </c>
      <c r="E89" s="1"/>
      <c r="F89" s="1"/>
      <c r="G89" s="1"/>
      <c r="H89" s="1"/>
      <c r="I89" s="1"/>
      <c r="J89" s="52">
        <v>0.06</v>
      </c>
      <c r="K89" s="52">
        <v>5.8999999999999997E-2</v>
      </c>
      <c r="L89" s="52">
        <v>5.8000000000000003E-2</v>
      </c>
      <c r="M89" s="52">
        <v>5.7000000000000002E-2</v>
      </c>
      <c r="N89" s="52">
        <v>5.6000000000000001E-2</v>
      </c>
      <c r="O89" s="1"/>
      <c r="P89" s="1"/>
      <c r="Q89" s="1"/>
    </row>
    <row r="90" spans="2:17">
      <c r="B90" s="1"/>
      <c r="C90" s="1"/>
      <c r="D90" s="1"/>
      <c r="E90" s="1"/>
      <c r="F90" s="1"/>
      <c r="G90" s="1"/>
      <c r="H90" s="1"/>
      <c r="I90" s="1"/>
      <c r="J90" s="1"/>
      <c r="K90" s="1"/>
      <c r="L90" s="1"/>
      <c r="M90" s="1"/>
      <c r="N90" s="1"/>
      <c r="O90" s="1"/>
      <c r="P90" s="1"/>
      <c r="Q90" s="1"/>
    </row>
    <row r="91" spans="2:17" ht="21" customHeight="1">
      <c r="B91" s="177" t="s">
        <v>213</v>
      </c>
      <c r="C91" s="177"/>
      <c r="D91" s="177"/>
      <c r="E91" s="177"/>
      <c r="F91" s="177"/>
      <c r="G91" s="177"/>
      <c r="H91" s="177"/>
      <c r="I91" s="177"/>
      <c r="J91" s="177"/>
      <c r="K91" s="177"/>
      <c r="L91" s="177"/>
      <c r="M91" s="177"/>
      <c r="N91" s="177"/>
      <c r="O91" s="1"/>
      <c r="P91" s="1"/>
      <c r="Q91" s="1"/>
    </row>
    <row r="92" spans="2:17">
      <c r="B92" s="1"/>
      <c r="C92" s="1"/>
      <c r="D92" s="1"/>
      <c r="E92" s="1"/>
      <c r="F92" s="1"/>
      <c r="G92" s="1"/>
      <c r="H92" s="1"/>
      <c r="I92" s="1"/>
      <c r="J92" s="49" t="s">
        <v>100</v>
      </c>
      <c r="K92" s="49" t="s">
        <v>101</v>
      </c>
      <c r="L92" s="49" t="s">
        <v>102</v>
      </c>
      <c r="M92" s="49" t="s">
        <v>103</v>
      </c>
      <c r="N92" s="49" t="s">
        <v>104</v>
      </c>
      <c r="O92" s="1"/>
      <c r="P92" s="1"/>
      <c r="Q92" s="1"/>
    </row>
    <row r="93" spans="2:17">
      <c r="B93" s="1"/>
      <c r="C93" s="1" t="s">
        <v>124</v>
      </c>
      <c r="D93" s="1" t="s">
        <v>191</v>
      </c>
      <c r="E93" s="1"/>
      <c r="F93" s="1"/>
      <c r="G93" s="1"/>
      <c r="H93" s="1"/>
      <c r="I93" s="1"/>
      <c r="J93" s="52">
        <v>0.04</v>
      </c>
      <c r="K93" s="52">
        <v>0.05</v>
      </c>
      <c r="L93" s="52">
        <v>5.5E-2</v>
      </c>
      <c r="M93" s="52">
        <v>5.5E-2</v>
      </c>
      <c r="N93" s="52">
        <v>5.5E-2</v>
      </c>
      <c r="O93" s="1"/>
      <c r="P93" s="1"/>
      <c r="Q93" s="1"/>
    </row>
    <row r="94" spans="2:17">
      <c r="B94" s="1"/>
      <c r="C94" s="1" t="s">
        <v>128</v>
      </c>
      <c r="D94" s="1" t="s">
        <v>191</v>
      </c>
      <c r="E94" s="1"/>
      <c r="F94" s="1"/>
      <c r="G94" s="1"/>
      <c r="H94" s="1"/>
      <c r="I94" s="1"/>
      <c r="J94" s="52">
        <v>0.432</v>
      </c>
      <c r="K94" s="52">
        <v>0.438</v>
      </c>
      <c r="L94" s="52">
        <v>0.44400000000000001</v>
      </c>
      <c r="M94" s="52">
        <v>0.44900000000000001</v>
      </c>
      <c r="N94" s="52">
        <v>0.45300000000000001</v>
      </c>
      <c r="O94" s="1"/>
      <c r="P94" s="1"/>
      <c r="Q94" s="1"/>
    </row>
    <row r="95" spans="2:17">
      <c r="B95" s="1"/>
      <c r="C95" s="1" t="s">
        <v>192</v>
      </c>
      <c r="D95" s="1" t="s">
        <v>191</v>
      </c>
      <c r="E95" s="1"/>
      <c r="F95" s="1"/>
      <c r="G95" s="1"/>
      <c r="H95" s="1"/>
      <c r="I95" s="1"/>
      <c r="J95" s="52">
        <v>0.105</v>
      </c>
      <c r="K95" s="52">
        <v>0.106</v>
      </c>
      <c r="L95" s="52">
        <v>0.105</v>
      </c>
      <c r="M95" s="52">
        <v>0.104</v>
      </c>
      <c r="N95" s="52">
        <v>0.10299999999999999</v>
      </c>
      <c r="O95" s="1"/>
      <c r="P95" s="1"/>
      <c r="Q95" s="1"/>
    </row>
    <row r="96" spans="2:17">
      <c r="B96" s="1"/>
      <c r="C96" s="1" t="s">
        <v>193</v>
      </c>
      <c r="D96" s="1" t="s">
        <v>191</v>
      </c>
      <c r="E96" s="1"/>
      <c r="F96" s="1"/>
      <c r="G96" s="1"/>
      <c r="H96" s="1"/>
      <c r="I96" s="1"/>
      <c r="J96" s="52">
        <v>0.245</v>
      </c>
      <c r="K96" s="52">
        <v>0.23799999999999999</v>
      </c>
      <c r="L96" s="52">
        <v>0.23200000000000001</v>
      </c>
      <c r="M96" s="52">
        <v>0.22700000000000001</v>
      </c>
      <c r="N96" s="52">
        <v>0.223</v>
      </c>
      <c r="O96" s="1"/>
      <c r="P96" s="1"/>
      <c r="Q96" s="1"/>
    </row>
    <row r="97" spans="2:17">
      <c r="B97" s="1"/>
      <c r="C97" s="1" t="s">
        <v>194</v>
      </c>
      <c r="D97" s="1" t="s">
        <v>195</v>
      </c>
      <c r="E97" s="1"/>
      <c r="F97" s="1"/>
      <c r="G97" s="1"/>
      <c r="H97" s="1"/>
      <c r="I97" s="1"/>
      <c r="J97" s="50">
        <v>44</v>
      </c>
      <c r="K97" s="50">
        <v>43</v>
      </c>
      <c r="L97" s="50">
        <v>42</v>
      </c>
      <c r="M97" s="50">
        <v>41</v>
      </c>
      <c r="N97" s="50">
        <v>40</v>
      </c>
      <c r="O97" s="1"/>
      <c r="P97" s="1"/>
      <c r="Q97" s="1"/>
    </row>
    <row r="98" spans="2:17">
      <c r="B98" s="1"/>
      <c r="C98" s="1" t="s">
        <v>196</v>
      </c>
      <c r="D98" s="1" t="s">
        <v>195</v>
      </c>
      <c r="E98" s="1"/>
      <c r="F98" s="1"/>
      <c r="G98" s="1"/>
      <c r="H98" s="1"/>
      <c r="I98" s="1"/>
      <c r="J98" s="50">
        <v>101</v>
      </c>
      <c r="K98" s="50">
        <v>99</v>
      </c>
      <c r="L98" s="50">
        <v>97</v>
      </c>
      <c r="M98" s="50">
        <v>96</v>
      </c>
      <c r="N98" s="50">
        <v>95</v>
      </c>
      <c r="O98" s="1"/>
      <c r="P98" s="1"/>
      <c r="Q98" s="1"/>
    </row>
    <row r="99" spans="2:17">
      <c r="B99" s="1"/>
      <c r="C99" s="1" t="s">
        <v>197</v>
      </c>
      <c r="D99" s="1" t="s">
        <v>195</v>
      </c>
      <c r="E99" s="1"/>
      <c r="F99" s="1"/>
      <c r="G99" s="1"/>
      <c r="H99" s="1"/>
      <c r="I99" s="1"/>
      <c r="J99" s="50">
        <v>49</v>
      </c>
      <c r="K99" s="50">
        <v>50</v>
      </c>
      <c r="L99" s="50">
        <v>50</v>
      </c>
      <c r="M99" s="50">
        <v>51</v>
      </c>
      <c r="N99" s="50">
        <v>52</v>
      </c>
      <c r="O99" s="1"/>
      <c r="P99" s="1"/>
      <c r="Q99" s="1"/>
    </row>
    <row r="100" spans="2:17">
      <c r="B100" s="1"/>
      <c r="C100" s="1" t="s">
        <v>198</v>
      </c>
      <c r="D100" s="1" t="s">
        <v>191</v>
      </c>
      <c r="E100" s="1"/>
      <c r="F100" s="1"/>
      <c r="G100" s="1"/>
      <c r="H100" s="1"/>
      <c r="I100" s="1"/>
      <c r="J100" s="52">
        <v>4.4999999999999998E-2</v>
      </c>
      <c r="K100" s="52">
        <v>4.3999999999999997E-2</v>
      </c>
      <c r="L100" s="52">
        <v>4.2999999999999997E-2</v>
      </c>
      <c r="M100" s="52">
        <v>4.2000000000000003E-2</v>
      </c>
      <c r="N100" s="52">
        <v>4.1000000000000002E-2</v>
      </c>
      <c r="O100" s="1"/>
      <c r="P100" s="1"/>
      <c r="Q100" s="1"/>
    </row>
    <row r="101" spans="2:17">
      <c r="B101" s="1"/>
      <c r="C101" s="1" t="s">
        <v>199</v>
      </c>
      <c r="D101" s="1" t="s">
        <v>191</v>
      </c>
      <c r="E101" s="1"/>
      <c r="F101" s="1"/>
      <c r="G101" s="1"/>
      <c r="H101" s="1"/>
      <c r="I101" s="1"/>
      <c r="J101" s="52">
        <v>0.121</v>
      </c>
      <c r="K101" s="52">
        <v>0.11899999999999999</v>
      </c>
      <c r="L101" s="52">
        <v>0.11700000000000001</v>
      </c>
      <c r="M101" s="52">
        <v>0.115</v>
      </c>
      <c r="N101" s="52">
        <v>0.113</v>
      </c>
      <c r="O101" s="1"/>
      <c r="P101" s="1"/>
      <c r="Q101" s="1"/>
    </row>
    <row r="102" spans="2:17">
      <c r="B102" s="1"/>
      <c r="C102" s="1" t="s">
        <v>200</v>
      </c>
      <c r="D102" s="1" t="s">
        <v>191</v>
      </c>
      <c r="E102" s="1"/>
      <c r="F102" s="1"/>
      <c r="G102" s="1"/>
      <c r="H102" s="1"/>
      <c r="I102" s="1"/>
      <c r="J102" s="52">
        <v>0.13200000000000001</v>
      </c>
      <c r="K102" s="52">
        <v>0.13</v>
      </c>
      <c r="L102" s="52">
        <v>0.128</v>
      </c>
      <c r="M102" s="52">
        <v>0.126</v>
      </c>
      <c r="N102" s="52">
        <v>0.124</v>
      </c>
      <c r="O102" s="1"/>
      <c r="P102" s="1"/>
      <c r="Q102" s="1"/>
    </row>
    <row r="103" spans="2:17">
      <c r="B103" s="1"/>
      <c r="C103" s="1" t="s">
        <v>201</v>
      </c>
      <c r="D103" s="1" t="s">
        <v>191</v>
      </c>
      <c r="E103" s="1"/>
      <c r="F103" s="1"/>
      <c r="G103" s="1"/>
      <c r="H103" s="1"/>
      <c r="I103" s="1"/>
      <c r="J103" s="52">
        <v>5.2999999999999999E-2</v>
      </c>
      <c r="K103" s="52">
        <v>5.1999999999999998E-2</v>
      </c>
      <c r="L103" s="52">
        <v>5.0999999999999997E-2</v>
      </c>
      <c r="M103" s="52">
        <v>0.05</v>
      </c>
      <c r="N103" s="52">
        <v>4.9000000000000002E-2</v>
      </c>
      <c r="O103" s="1"/>
      <c r="P103" s="1"/>
      <c r="Q103" s="1"/>
    </row>
    <row r="104" spans="2:17">
      <c r="B104" s="1"/>
      <c r="C104" s="1" t="s">
        <v>130</v>
      </c>
      <c r="D104" s="1" t="s">
        <v>191</v>
      </c>
      <c r="E104" s="1"/>
      <c r="F104" s="1"/>
      <c r="G104" s="1"/>
      <c r="H104" s="1"/>
      <c r="I104" s="1"/>
      <c r="J104" s="52">
        <v>2.1999999999999999E-2</v>
      </c>
      <c r="K104" s="52">
        <v>2.1000000000000001E-2</v>
      </c>
      <c r="L104" s="52">
        <v>0.02</v>
      </c>
      <c r="M104" s="52">
        <v>1.9E-2</v>
      </c>
      <c r="N104" s="52">
        <v>1.7999999999999999E-2</v>
      </c>
      <c r="O104" s="1"/>
      <c r="P104" s="1"/>
      <c r="Q104" s="1"/>
    </row>
    <row r="105" spans="2:17">
      <c r="B105" s="1"/>
      <c r="C105" s="1" t="s">
        <v>202</v>
      </c>
      <c r="D105" s="1" t="s">
        <v>191</v>
      </c>
      <c r="E105" s="1"/>
      <c r="F105" s="1"/>
      <c r="G105" s="1"/>
      <c r="H105" s="1"/>
      <c r="I105" s="1"/>
      <c r="J105" s="52">
        <v>1.6E-2</v>
      </c>
      <c r="K105" s="52">
        <v>1.6E-2</v>
      </c>
      <c r="L105" s="52">
        <v>1.6E-2</v>
      </c>
      <c r="M105" s="52">
        <v>1.6E-2</v>
      </c>
      <c r="N105" s="52">
        <v>1.6E-2</v>
      </c>
      <c r="O105" s="1"/>
      <c r="P105" s="1"/>
      <c r="Q105" s="1"/>
    </row>
    <row r="106" spans="2:17">
      <c r="B106" s="1"/>
      <c r="C106" s="1" t="s">
        <v>203</v>
      </c>
      <c r="D106" s="1" t="s">
        <v>191</v>
      </c>
      <c r="E106" s="1"/>
      <c r="F106" s="1"/>
      <c r="G106" s="1"/>
      <c r="H106" s="1"/>
      <c r="I106" s="1"/>
      <c r="J106" s="52">
        <v>1.4999999999999999E-2</v>
      </c>
      <c r="K106" s="52">
        <v>1.4999999999999999E-2</v>
      </c>
      <c r="L106" s="52">
        <v>1.4999999999999999E-2</v>
      </c>
      <c r="M106" s="52">
        <v>1.4999999999999999E-2</v>
      </c>
      <c r="N106" s="52">
        <v>1.4999999999999999E-2</v>
      </c>
      <c r="O106" s="1"/>
      <c r="P106" s="1"/>
      <c r="Q106" s="1"/>
    </row>
    <row r="107" spans="2:17">
      <c r="B107" s="1"/>
      <c r="C107" s="1" t="s">
        <v>204</v>
      </c>
      <c r="D107" s="1" t="s">
        <v>191</v>
      </c>
      <c r="E107" s="1"/>
      <c r="F107" s="1"/>
      <c r="G107" s="1"/>
      <c r="H107" s="1"/>
      <c r="I107" s="1"/>
      <c r="J107" s="52">
        <v>0.65</v>
      </c>
      <c r="K107" s="52">
        <v>0.62</v>
      </c>
      <c r="L107" s="52">
        <v>0.6</v>
      </c>
      <c r="M107" s="52">
        <v>0.57999999999999996</v>
      </c>
      <c r="N107" s="52">
        <v>0.55000000000000004</v>
      </c>
      <c r="O107" s="1"/>
      <c r="P107" s="1"/>
      <c r="Q107" s="1"/>
    </row>
    <row r="108" spans="2:17">
      <c r="B108" s="1"/>
      <c r="C108" s="1" t="s">
        <v>205</v>
      </c>
      <c r="D108" s="1" t="s">
        <v>206</v>
      </c>
      <c r="E108" s="1"/>
      <c r="F108" s="1"/>
      <c r="G108" s="1"/>
      <c r="H108" s="1"/>
      <c r="I108" s="1"/>
      <c r="J108" s="50">
        <v>500</v>
      </c>
      <c r="K108" s="50">
        <v>500</v>
      </c>
      <c r="L108" s="50">
        <v>500</v>
      </c>
      <c r="M108" s="50">
        <v>500</v>
      </c>
      <c r="N108" s="50">
        <v>500</v>
      </c>
      <c r="O108" s="1"/>
      <c r="P108" s="1"/>
      <c r="Q108" s="1"/>
    </row>
    <row r="109" spans="2:17">
      <c r="B109" s="1"/>
      <c r="C109" s="1" t="s">
        <v>207</v>
      </c>
      <c r="D109" s="1" t="s">
        <v>206</v>
      </c>
      <c r="E109" s="1"/>
      <c r="F109" s="1"/>
      <c r="G109" s="1"/>
      <c r="H109" s="1"/>
      <c r="I109" s="1"/>
      <c r="J109" s="50">
        <v>500</v>
      </c>
      <c r="K109" s="50">
        <v>500</v>
      </c>
      <c r="L109" s="50">
        <v>500</v>
      </c>
      <c r="M109" s="50">
        <v>500</v>
      </c>
      <c r="N109" s="50">
        <v>500</v>
      </c>
      <c r="O109" s="1"/>
      <c r="P109" s="1"/>
      <c r="Q109" s="1"/>
    </row>
    <row r="110" spans="2:17">
      <c r="B110" s="1"/>
      <c r="C110" s="1" t="s">
        <v>208</v>
      </c>
      <c r="D110" s="1" t="s">
        <v>206</v>
      </c>
      <c r="E110" s="1"/>
      <c r="F110" s="1"/>
      <c r="G110" s="1"/>
      <c r="H110" s="1"/>
      <c r="I110" s="1"/>
      <c r="J110" s="50">
        <v>150</v>
      </c>
      <c r="K110" s="50">
        <v>150</v>
      </c>
      <c r="L110" s="50">
        <v>150</v>
      </c>
      <c r="M110" s="50">
        <v>150</v>
      </c>
      <c r="N110" s="50">
        <v>150</v>
      </c>
      <c r="O110" s="1"/>
      <c r="P110" s="1"/>
      <c r="Q110" s="1"/>
    </row>
    <row r="111" spans="2:17">
      <c r="B111" s="1"/>
      <c r="C111" s="1" t="s">
        <v>209</v>
      </c>
      <c r="D111" s="1" t="s">
        <v>191</v>
      </c>
      <c r="E111" s="1"/>
      <c r="F111" s="1"/>
      <c r="G111" s="1"/>
      <c r="H111" s="1"/>
      <c r="I111" s="1"/>
      <c r="J111" s="52">
        <v>0.03</v>
      </c>
      <c r="K111" s="52">
        <v>2.9000000000000001E-2</v>
      </c>
      <c r="L111" s="52">
        <v>2.8000000000000001E-2</v>
      </c>
      <c r="M111" s="52">
        <v>2.7E-2</v>
      </c>
      <c r="N111" s="52">
        <v>2.5999999999999999E-2</v>
      </c>
      <c r="O111" s="1"/>
      <c r="P111" s="1"/>
      <c r="Q111" s="1"/>
    </row>
    <row r="112" spans="2:17">
      <c r="B112" s="1"/>
      <c r="C112" s="1" t="s">
        <v>210</v>
      </c>
      <c r="D112" s="1" t="s">
        <v>191</v>
      </c>
      <c r="E112" s="1"/>
      <c r="F112" s="1"/>
      <c r="G112" s="1"/>
      <c r="H112" s="1"/>
      <c r="I112" s="1"/>
      <c r="J112" s="52">
        <v>0.06</v>
      </c>
      <c r="K112" s="52">
        <v>5.8000000000000003E-2</v>
      </c>
      <c r="L112" s="52">
        <v>5.6000000000000001E-2</v>
      </c>
      <c r="M112" s="52">
        <v>5.3999999999999999E-2</v>
      </c>
      <c r="N112" s="52">
        <v>5.1999999999999998E-2</v>
      </c>
      <c r="O112" s="1"/>
      <c r="P112" s="1"/>
      <c r="Q112" s="1"/>
    </row>
    <row r="113" spans="2:17">
      <c r="B113" s="1"/>
      <c r="C113" s="1"/>
      <c r="D113" s="1"/>
      <c r="E113" s="1"/>
      <c r="F113" s="1"/>
      <c r="G113" s="1"/>
      <c r="H113" s="1"/>
      <c r="I113" s="1"/>
      <c r="J113" s="1"/>
      <c r="K113" s="1"/>
      <c r="L113" s="1"/>
      <c r="M113" s="1"/>
      <c r="N113" s="1"/>
      <c r="O113" s="1"/>
      <c r="P113" s="1"/>
      <c r="Q113" s="1"/>
    </row>
    <row r="114" spans="2:17" ht="21" customHeight="1">
      <c r="B114" s="177" t="s">
        <v>214</v>
      </c>
      <c r="C114" s="177"/>
      <c r="D114" s="177"/>
      <c r="E114" s="177"/>
      <c r="F114" s="177"/>
      <c r="G114" s="177"/>
      <c r="H114" s="177"/>
      <c r="I114" s="177"/>
      <c r="J114" s="177"/>
      <c r="K114" s="177"/>
      <c r="L114" s="177"/>
      <c r="M114" s="177"/>
      <c r="N114" s="177"/>
      <c r="O114" s="1"/>
      <c r="P114" s="1"/>
      <c r="Q114" s="1"/>
    </row>
    <row r="115" spans="2:17">
      <c r="B115" s="1"/>
      <c r="C115" s="1"/>
      <c r="D115" s="1"/>
      <c r="E115" s="1"/>
      <c r="F115" s="1"/>
      <c r="G115" s="1"/>
      <c r="H115" s="1"/>
      <c r="I115" s="1"/>
      <c r="J115" s="49" t="s">
        <v>100</v>
      </c>
      <c r="K115" s="49" t="s">
        <v>101</v>
      </c>
      <c r="L115" s="49" t="s">
        <v>102</v>
      </c>
      <c r="M115" s="49" t="s">
        <v>103</v>
      </c>
      <c r="N115" s="49" t="s">
        <v>104</v>
      </c>
      <c r="O115" s="1"/>
      <c r="P115" s="1"/>
      <c r="Q115" s="1"/>
    </row>
    <row r="116" spans="2:17">
      <c r="B116" s="1"/>
      <c r="C116" s="1" t="s">
        <v>124</v>
      </c>
      <c r="D116" s="1" t="s">
        <v>191</v>
      </c>
      <c r="E116" s="1"/>
      <c r="F116" s="1"/>
      <c r="G116" s="1"/>
      <c r="H116" s="1"/>
      <c r="I116" s="1"/>
      <c r="J116" s="52">
        <v>0.06</v>
      </c>
      <c r="K116" s="52">
        <v>7.0000000000000007E-2</v>
      </c>
      <c r="L116" s="52">
        <v>7.0000000000000007E-2</v>
      </c>
      <c r="M116" s="52">
        <v>6.5000000000000002E-2</v>
      </c>
      <c r="N116" s="52">
        <v>0.06</v>
      </c>
      <c r="O116" s="1"/>
      <c r="P116" s="1"/>
      <c r="Q116" s="1"/>
    </row>
    <row r="117" spans="2:17">
      <c r="B117" s="1"/>
      <c r="C117" s="1" t="s">
        <v>128</v>
      </c>
      <c r="D117" s="1" t="s">
        <v>191</v>
      </c>
      <c r="E117" s="1"/>
      <c r="F117" s="1"/>
      <c r="G117" s="1"/>
      <c r="H117" s="1"/>
      <c r="I117" s="1"/>
      <c r="J117" s="52">
        <v>0.42799999999999999</v>
      </c>
      <c r="K117" s="52">
        <v>0.435</v>
      </c>
      <c r="L117" s="52">
        <v>0.44500000000000001</v>
      </c>
      <c r="M117" s="52">
        <v>0.45200000000000001</v>
      </c>
      <c r="N117" s="52">
        <v>0.45800000000000002</v>
      </c>
      <c r="O117" s="1"/>
      <c r="P117" s="1"/>
      <c r="Q117" s="1"/>
    </row>
    <row r="118" spans="2:17">
      <c r="B118" s="1"/>
      <c r="C118" s="1" t="s">
        <v>192</v>
      </c>
      <c r="D118" s="1" t="s">
        <v>191</v>
      </c>
      <c r="E118" s="1"/>
      <c r="F118" s="1"/>
      <c r="G118" s="1"/>
      <c r="H118" s="1"/>
      <c r="I118" s="1"/>
      <c r="J118" s="52">
        <v>0.11</v>
      </c>
      <c r="K118" s="52">
        <v>0.112</v>
      </c>
      <c r="L118" s="52">
        <v>0.11</v>
      </c>
      <c r="M118" s="52">
        <v>0.108</v>
      </c>
      <c r="N118" s="52">
        <v>0.106</v>
      </c>
      <c r="O118" s="1"/>
      <c r="P118" s="1"/>
      <c r="Q118" s="1"/>
    </row>
    <row r="119" spans="2:17">
      <c r="B119" s="1"/>
      <c r="C119" s="1" t="s">
        <v>193</v>
      </c>
      <c r="D119" s="1" t="s">
        <v>191</v>
      </c>
      <c r="E119" s="1"/>
      <c r="F119" s="1"/>
      <c r="G119" s="1"/>
      <c r="H119" s="1"/>
      <c r="I119" s="1"/>
      <c r="J119" s="52">
        <v>0.25</v>
      </c>
      <c r="K119" s="52">
        <v>0.24</v>
      </c>
      <c r="L119" s="52">
        <v>0.23</v>
      </c>
      <c r="M119" s="52">
        <v>0.223</v>
      </c>
      <c r="N119" s="52">
        <v>0.218</v>
      </c>
      <c r="O119" s="1"/>
      <c r="P119" s="1"/>
      <c r="Q119" s="1"/>
    </row>
    <row r="120" spans="2:17">
      <c r="B120" s="1"/>
      <c r="C120" s="1" t="s">
        <v>194</v>
      </c>
      <c r="D120" s="1" t="s">
        <v>195</v>
      </c>
      <c r="E120" s="1"/>
      <c r="F120" s="1"/>
      <c r="G120" s="1"/>
      <c r="H120" s="1"/>
      <c r="I120" s="1"/>
      <c r="J120" s="50">
        <v>44</v>
      </c>
      <c r="K120" s="50">
        <v>43</v>
      </c>
      <c r="L120" s="50">
        <v>42</v>
      </c>
      <c r="M120" s="50">
        <v>41</v>
      </c>
      <c r="N120" s="50">
        <v>40</v>
      </c>
      <c r="O120" s="1"/>
      <c r="P120" s="1"/>
      <c r="Q120" s="1"/>
    </row>
    <row r="121" spans="2:17">
      <c r="B121" s="1"/>
      <c r="C121" s="1" t="s">
        <v>196</v>
      </c>
      <c r="D121" s="1" t="s">
        <v>195</v>
      </c>
      <c r="E121" s="1"/>
      <c r="F121" s="1"/>
      <c r="G121" s="1"/>
      <c r="H121" s="1"/>
      <c r="I121" s="1"/>
      <c r="J121" s="50">
        <v>104</v>
      </c>
      <c r="K121" s="50">
        <v>100</v>
      </c>
      <c r="L121" s="50">
        <v>96</v>
      </c>
      <c r="M121" s="50">
        <v>92</v>
      </c>
      <c r="N121" s="50">
        <v>89</v>
      </c>
      <c r="O121" s="1"/>
      <c r="P121" s="1"/>
      <c r="Q121" s="1"/>
    </row>
    <row r="122" spans="2:17">
      <c r="B122" s="1"/>
      <c r="C122" s="1" t="s">
        <v>197</v>
      </c>
      <c r="D122" s="1" t="s">
        <v>195</v>
      </c>
      <c r="E122" s="1"/>
      <c r="F122" s="1"/>
      <c r="G122" s="1"/>
      <c r="H122" s="1"/>
      <c r="I122" s="1"/>
      <c r="J122" s="50">
        <v>48</v>
      </c>
      <c r="K122" s="50">
        <v>49</v>
      </c>
      <c r="L122" s="50">
        <v>50</v>
      </c>
      <c r="M122" s="50">
        <v>51</v>
      </c>
      <c r="N122" s="50">
        <v>52</v>
      </c>
      <c r="O122" s="1"/>
      <c r="P122" s="1"/>
      <c r="Q122" s="1"/>
    </row>
    <row r="123" spans="2:17">
      <c r="B123" s="1"/>
      <c r="C123" s="1" t="s">
        <v>198</v>
      </c>
      <c r="D123" s="1" t="s">
        <v>191</v>
      </c>
      <c r="E123" s="1"/>
      <c r="F123" s="1"/>
      <c r="G123" s="1"/>
      <c r="H123" s="1"/>
      <c r="I123" s="1"/>
      <c r="J123" s="52">
        <v>4.7E-2</v>
      </c>
      <c r="K123" s="52">
        <v>4.5999999999999999E-2</v>
      </c>
      <c r="L123" s="52">
        <v>4.3999999999999997E-2</v>
      </c>
      <c r="M123" s="52">
        <v>4.2000000000000003E-2</v>
      </c>
      <c r="N123" s="52">
        <v>0.04</v>
      </c>
      <c r="O123" s="1"/>
      <c r="P123" s="1"/>
      <c r="Q123" s="1"/>
    </row>
    <row r="124" spans="2:17">
      <c r="B124" s="1"/>
      <c r="C124" s="1" t="s">
        <v>199</v>
      </c>
      <c r="D124" s="1" t="s">
        <v>191</v>
      </c>
      <c r="E124" s="1"/>
      <c r="F124" s="1"/>
      <c r="G124" s="1"/>
      <c r="H124" s="1"/>
      <c r="I124" s="1"/>
      <c r="J124" s="52">
        <v>0.124</v>
      </c>
      <c r="K124" s="52">
        <v>0.121</v>
      </c>
      <c r="L124" s="52">
        <v>0.11799999999999999</v>
      </c>
      <c r="M124" s="52">
        <v>0.115</v>
      </c>
      <c r="N124" s="52">
        <v>0.112</v>
      </c>
      <c r="O124" s="1"/>
      <c r="P124" s="1"/>
      <c r="Q124" s="1"/>
    </row>
    <row r="125" spans="2:17">
      <c r="B125" s="1"/>
      <c r="C125" s="1" t="s">
        <v>200</v>
      </c>
      <c r="D125" s="1" t="s">
        <v>191</v>
      </c>
      <c r="E125" s="1"/>
      <c r="F125" s="1"/>
      <c r="G125" s="1"/>
      <c r="H125" s="1"/>
      <c r="I125" s="1"/>
      <c r="J125" s="52">
        <v>0.13500000000000001</v>
      </c>
      <c r="K125" s="52">
        <v>0.13200000000000001</v>
      </c>
      <c r="L125" s="52">
        <v>0.129</v>
      </c>
      <c r="M125" s="52">
        <v>0.126</v>
      </c>
      <c r="N125" s="52">
        <v>0.123</v>
      </c>
      <c r="O125" s="1"/>
      <c r="P125" s="1"/>
      <c r="Q125" s="1"/>
    </row>
    <row r="126" spans="2:17">
      <c r="B126" s="1"/>
      <c r="C126" s="1" t="s">
        <v>201</v>
      </c>
      <c r="D126" s="1" t="s">
        <v>191</v>
      </c>
      <c r="E126" s="1"/>
      <c r="F126" s="1"/>
      <c r="G126" s="1"/>
      <c r="H126" s="1"/>
      <c r="I126" s="1"/>
      <c r="J126" s="52">
        <v>5.5E-2</v>
      </c>
      <c r="K126" s="52">
        <v>5.2999999999999999E-2</v>
      </c>
      <c r="L126" s="52">
        <v>5.0999999999999997E-2</v>
      </c>
      <c r="M126" s="52">
        <v>4.9000000000000002E-2</v>
      </c>
      <c r="N126" s="52">
        <v>4.7E-2</v>
      </c>
      <c r="O126" s="1"/>
      <c r="P126" s="1"/>
      <c r="Q126" s="1"/>
    </row>
    <row r="127" spans="2:17">
      <c r="B127" s="1"/>
      <c r="C127" s="1" t="s">
        <v>130</v>
      </c>
      <c r="D127" s="1" t="s">
        <v>191</v>
      </c>
      <c r="E127" s="1"/>
      <c r="F127" s="1"/>
      <c r="G127" s="1"/>
      <c r="H127" s="1"/>
      <c r="I127" s="1"/>
      <c r="J127" s="52">
        <v>2.8000000000000001E-2</v>
      </c>
      <c r="K127" s="52">
        <v>2.5999999999999999E-2</v>
      </c>
      <c r="L127" s="52">
        <v>2.4E-2</v>
      </c>
      <c r="M127" s="52">
        <v>2.1999999999999999E-2</v>
      </c>
      <c r="N127" s="52">
        <v>0.02</v>
      </c>
      <c r="O127" s="1"/>
      <c r="P127" s="1"/>
      <c r="Q127" s="1"/>
    </row>
    <row r="128" spans="2:17">
      <c r="B128" s="1"/>
      <c r="C128" s="1" t="s">
        <v>202</v>
      </c>
      <c r="D128" s="1" t="s">
        <v>191</v>
      </c>
      <c r="E128" s="1"/>
      <c r="F128" s="1"/>
      <c r="G128" s="1"/>
      <c r="H128" s="1"/>
      <c r="I128" s="1"/>
      <c r="J128" s="52">
        <v>1.7000000000000001E-2</v>
      </c>
      <c r="K128" s="52">
        <v>1.7000000000000001E-2</v>
      </c>
      <c r="L128" s="52">
        <v>1.7000000000000001E-2</v>
      </c>
      <c r="M128" s="52">
        <v>1.7000000000000001E-2</v>
      </c>
      <c r="N128" s="52">
        <v>1.7000000000000001E-2</v>
      </c>
      <c r="O128" s="1"/>
      <c r="P128" s="1"/>
      <c r="Q128" s="1"/>
    </row>
    <row r="129" spans="2:17">
      <c r="B129" s="1"/>
      <c r="C129" s="1" t="s">
        <v>203</v>
      </c>
      <c r="D129" s="1" t="s">
        <v>191</v>
      </c>
      <c r="E129" s="1"/>
      <c r="F129" s="1"/>
      <c r="G129" s="1"/>
      <c r="H129" s="1"/>
      <c r="I129" s="1"/>
      <c r="J129" s="52">
        <v>1.6E-2</v>
      </c>
      <c r="K129" s="52">
        <v>1.6E-2</v>
      </c>
      <c r="L129" s="52">
        <v>1.6E-2</v>
      </c>
      <c r="M129" s="52">
        <v>1.6E-2</v>
      </c>
      <c r="N129" s="52">
        <v>1.6E-2</v>
      </c>
      <c r="O129" s="1"/>
      <c r="P129" s="1"/>
      <c r="Q129" s="1"/>
    </row>
    <row r="130" spans="2:17">
      <c r="B130" s="1"/>
      <c r="C130" s="1" t="s">
        <v>204</v>
      </c>
      <c r="D130" s="1" t="s">
        <v>191</v>
      </c>
      <c r="E130" s="1"/>
      <c r="F130" s="1"/>
      <c r="G130" s="1"/>
      <c r="H130" s="1"/>
      <c r="I130" s="1"/>
      <c r="J130" s="52">
        <v>0.55000000000000004</v>
      </c>
      <c r="K130" s="52">
        <v>0.55000000000000004</v>
      </c>
      <c r="L130" s="52">
        <v>0.55000000000000004</v>
      </c>
      <c r="M130" s="52">
        <v>0.55000000000000004</v>
      </c>
      <c r="N130" s="52">
        <v>0.55000000000000004</v>
      </c>
      <c r="O130" s="1"/>
      <c r="P130" s="1"/>
      <c r="Q130" s="1"/>
    </row>
    <row r="131" spans="2:17">
      <c r="B131" s="1"/>
      <c r="C131" s="1" t="s">
        <v>205</v>
      </c>
      <c r="D131" s="1" t="s">
        <v>206</v>
      </c>
      <c r="E131" s="1"/>
      <c r="F131" s="1"/>
      <c r="G131" s="1"/>
      <c r="H131" s="1"/>
      <c r="I131" s="1"/>
      <c r="J131" s="50">
        <v>750</v>
      </c>
      <c r="K131" s="50">
        <v>750</v>
      </c>
      <c r="L131" s="50">
        <v>750</v>
      </c>
      <c r="M131" s="50">
        <v>750</v>
      </c>
      <c r="N131" s="50">
        <v>750</v>
      </c>
      <c r="O131" s="1"/>
      <c r="P131" s="1"/>
      <c r="Q131" s="1"/>
    </row>
    <row r="132" spans="2:17">
      <c r="B132" s="1"/>
      <c r="C132" s="1" t="s">
        <v>207</v>
      </c>
      <c r="D132" s="1" t="s">
        <v>206</v>
      </c>
      <c r="E132" s="1"/>
      <c r="F132" s="1"/>
      <c r="G132" s="1"/>
      <c r="H132" s="1"/>
      <c r="I132" s="1"/>
      <c r="J132" s="50">
        <v>600</v>
      </c>
      <c r="K132" s="50">
        <v>600</v>
      </c>
      <c r="L132" s="50">
        <v>600</v>
      </c>
      <c r="M132" s="50">
        <v>600</v>
      </c>
      <c r="N132" s="50">
        <v>600</v>
      </c>
      <c r="O132" s="1"/>
      <c r="P132" s="1"/>
      <c r="Q132" s="1"/>
    </row>
    <row r="133" spans="2:17">
      <c r="B133" s="1"/>
      <c r="C133" s="1" t="s">
        <v>208</v>
      </c>
      <c r="D133" s="1" t="s">
        <v>206</v>
      </c>
      <c r="E133" s="1"/>
      <c r="F133" s="1"/>
      <c r="G133" s="1"/>
      <c r="H133" s="1"/>
      <c r="I133" s="1"/>
      <c r="J133" s="50">
        <v>200</v>
      </c>
      <c r="K133" s="50">
        <v>200</v>
      </c>
      <c r="L133" s="50">
        <v>200</v>
      </c>
      <c r="M133" s="50">
        <v>200</v>
      </c>
      <c r="N133" s="50">
        <v>200</v>
      </c>
      <c r="O133" s="1"/>
      <c r="P133" s="1"/>
      <c r="Q133" s="1"/>
    </row>
    <row r="134" spans="2:17">
      <c r="B134" s="1"/>
      <c r="C134" s="1" t="s">
        <v>209</v>
      </c>
      <c r="D134" s="1" t="s">
        <v>191</v>
      </c>
      <c r="E134" s="1"/>
      <c r="F134" s="1"/>
      <c r="G134" s="1"/>
      <c r="H134" s="1"/>
      <c r="I134" s="1"/>
      <c r="J134" s="52">
        <v>0.03</v>
      </c>
      <c r="K134" s="52">
        <v>2.9000000000000001E-2</v>
      </c>
      <c r="L134" s="52">
        <v>2.8000000000000001E-2</v>
      </c>
      <c r="M134" s="52">
        <v>2.7E-2</v>
      </c>
      <c r="N134" s="52">
        <v>2.5999999999999999E-2</v>
      </c>
      <c r="O134" s="1"/>
      <c r="P134" s="1"/>
      <c r="Q134" s="1"/>
    </row>
    <row r="135" spans="2:17">
      <c r="B135" s="1"/>
      <c r="C135" s="1" t="s">
        <v>210</v>
      </c>
      <c r="D135" s="1" t="s">
        <v>191</v>
      </c>
      <c r="E135" s="1"/>
      <c r="F135" s="1"/>
      <c r="G135" s="1"/>
      <c r="H135" s="1"/>
      <c r="I135" s="1"/>
      <c r="J135" s="52">
        <v>6.2E-2</v>
      </c>
      <c r="K135" s="52">
        <v>0.06</v>
      </c>
      <c r="L135" s="52">
        <v>5.8000000000000003E-2</v>
      </c>
      <c r="M135" s="52">
        <v>5.6000000000000001E-2</v>
      </c>
      <c r="N135" s="52">
        <v>5.3999999999999999E-2</v>
      </c>
      <c r="O135" s="1"/>
      <c r="P135" s="1"/>
      <c r="Q135" s="1"/>
    </row>
    <row r="136" spans="2:17">
      <c r="B136" s="1"/>
      <c r="C136" s="1"/>
      <c r="D136" s="1"/>
      <c r="E136" s="1"/>
      <c r="F136" s="1"/>
      <c r="G136" s="1"/>
      <c r="H136" s="1"/>
      <c r="I136" s="1"/>
      <c r="J136" s="1"/>
      <c r="K136" s="1"/>
      <c r="L136" s="1"/>
      <c r="M136" s="1"/>
      <c r="N136" s="1"/>
      <c r="O136" s="1"/>
      <c r="P136" s="1"/>
      <c r="Q136" s="1"/>
    </row>
    <row r="137" spans="2:17">
      <c r="B137" s="1"/>
      <c r="C137" s="1"/>
      <c r="D137" s="1"/>
      <c r="E137" s="1"/>
      <c r="F137" s="1"/>
      <c r="G137" s="1"/>
      <c r="H137" s="1"/>
      <c r="I137" s="1"/>
      <c r="J137" s="1"/>
      <c r="K137" s="1"/>
      <c r="L137" s="1"/>
      <c r="M137" s="1"/>
      <c r="N137" s="1"/>
      <c r="O137" s="1"/>
      <c r="P137" s="1"/>
      <c r="Q137" s="1"/>
    </row>
    <row r="138" spans="2:17" ht="21" customHeight="1">
      <c r="B138" s="177" t="s">
        <v>215</v>
      </c>
      <c r="C138" s="177"/>
      <c r="D138" s="177"/>
      <c r="E138" s="177"/>
      <c r="F138" s="177"/>
      <c r="G138" s="177"/>
      <c r="H138" s="177"/>
      <c r="I138" s="177"/>
      <c r="J138" s="177"/>
      <c r="K138" s="177"/>
      <c r="L138" s="177"/>
      <c r="M138" s="177"/>
      <c r="N138" s="177"/>
      <c r="O138" s="1"/>
      <c r="P138" s="1"/>
      <c r="Q138" s="1"/>
    </row>
    <row r="139" spans="2:17">
      <c r="B139" s="1"/>
      <c r="C139" s="1"/>
      <c r="D139" s="1"/>
      <c r="E139" s="1"/>
      <c r="F139" s="1"/>
      <c r="G139" s="1"/>
      <c r="H139" s="1"/>
      <c r="I139" s="1"/>
      <c r="J139" s="1"/>
      <c r="K139" s="1"/>
      <c r="L139" s="1"/>
      <c r="M139" s="1"/>
      <c r="N139" s="1"/>
      <c r="O139" s="1"/>
      <c r="P139" s="1"/>
      <c r="Q139" s="1"/>
    </row>
    <row r="140" spans="2:17">
      <c r="B140" s="1"/>
      <c r="C140" s="2" t="s">
        <v>216</v>
      </c>
      <c r="D140" s="57">
        <v>4.7399999999999998E-2</v>
      </c>
      <c r="E140" s="1"/>
      <c r="F140" s="4" t="s">
        <v>217</v>
      </c>
      <c r="G140" s="4" t="s">
        <v>100</v>
      </c>
      <c r="H140" s="4" t="s">
        <v>101</v>
      </c>
      <c r="I140" s="4" t="s">
        <v>102</v>
      </c>
      <c r="J140" s="4" t="s">
        <v>103</v>
      </c>
      <c r="K140" s="4" t="s">
        <v>104</v>
      </c>
      <c r="L140" s="4" t="s">
        <v>218</v>
      </c>
      <c r="M140" s="4" t="s">
        <v>219</v>
      </c>
      <c r="N140" s="1"/>
      <c r="O140" s="4" t="s">
        <v>220</v>
      </c>
      <c r="P140" s="4" t="s">
        <v>106</v>
      </c>
      <c r="Q140" s="1"/>
    </row>
    <row r="141" spans="2:17">
      <c r="B141" s="1"/>
      <c r="C141" s="2" t="s">
        <v>221</v>
      </c>
      <c r="D141" s="58">
        <v>4.2799999999999998E-2</v>
      </c>
      <c r="E141" s="1"/>
      <c r="F141" s="1" t="s">
        <v>222</v>
      </c>
      <c r="G141" s="50">
        <v>500</v>
      </c>
      <c r="H141" s="50">
        <v>450</v>
      </c>
      <c r="I141" s="50">
        <v>300</v>
      </c>
      <c r="J141" s="50">
        <v>0</v>
      </c>
      <c r="K141" s="50">
        <v>0</v>
      </c>
      <c r="L141" s="1" t="s">
        <v>223</v>
      </c>
      <c r="M141" s="63">
        <v>0</v>
      </c>
      <c r="N141" s="1"/>
      <c r="O141" s="1" t="s">
        <v>224</v>
      </c>
      <c r="P141" s="66">
        <v>38.86</v>
      </c>
      <c r="Q141" s="1"/>
    </row>
    <row r="142" spans="2:17">
      <c r="B142" s="1"/>
      <c r="C142" s="2" t="s">
        <v>225</v>
      </c>
      <c r="D142" s="58">
        <v>1.05</v>
      </c>
      <c r="E142" s="1"/>
      <c r="F142" s="1" t="s">
        <v>226</v>
      </c>
      <c r="G142" s="52">
        <v>0</v>
      </c>
      <c r="H142" s="52">
        <v>0.01</v>
      </c>
      <c r="I142" s="52">
        <v>0.02</v>
      </c>
      <c r="J142" s="52">
        <v>0.03</v>
      </c>
      <c r="K142" s="52">
        <v>0.04</v>
      </c>
      <c r="L142" s="1" t="s">
        <v>227</v>
      </c>
      <c r="M142" s="58">
        <v>0.15</v>
      </c>
      <c r="N142" s="1"/>
      <c r="O142" s="1" t="s">
        <v>228</v>
      </c>
      <c r="P142" s="67">
        <v>80.17</v>
      </c>
      <c r="Q142" s="1"/>
    </row>
    <row r="143" spans="2:17">
      <c r="B143" s="1"/>
      <c r="C143" s="2" t="s">
        <v>229</v>
      </c>
      <c r="D143" s="58">
        <v>5.3400000000000003E-2</v>
      </c>
      <c r="E143" s="1"/>
      <c r="F143" s="1" t="s">
        <v>230</v>
      </c>
      <c r="G143" s="62">
        <v>46538</v>
      </c>
      <c r="H143" s="62">
        <v>46904</v>
      </c>
      <c r="I143" s="62">
        <v>47269</v>
      </c>
      <c r="J143" s="62">
        <v>47634</v>
      </c>
      <c r="K143" s="62">
        <v>47999</v>
      </c>
      <c r="L143" s="1" t="s">
        <v>231</v>
      </c>
      <c r="M143" s="58">
        <v>0.5</v>
      </c>
      <c r="N143" s="1"/>
      <c r="O143" s="1"/>
      <c r="P143" s="1"/>
      <c r="Q143" s="1"/>
    </row>
    <row r="144" spans="2:17">
      <c r="B144" s="1"/>
      <c r="C144" s="2" t="s">
        <v>232</v>
      </c>
      <c r="D144" s="58">
        <v>0.12</v>
      </c>
      <c r="E144" s="1"/>
      <c r="F144" s="1"/>
      <c r="G144" s="1"/>
      <c r="H144" s="1"/>
      <c r="I144" s="1"/>
      <c r="J144" s="1"/>
      <c r="K144" s="1"/>
      <c r="L144" s="1" t="s">
        <v>233</v>
      </c>
      <c r="M144" s="58">
        <v>0.7</v>
      </c>
      <c r="N144" s="1"/>
      <c r="O144" s="1"/>
      <c r="P144" s="1"/>
      <c r="Q144" s="1"/>
    </row>
    <row r="145" spans="2:17">
      <c r="B145" s="1"/>
      <c r="C145" s="2" t="s">
        <v>234</v>
      </c>
      <c r="D145" s="58">
        <v>0.88</v>
      </c>
      <c r="E145" s="1"/>
      <c r="F145" s="1"/>
      <c r="G145" s="1"/>
      <c r="H145" s="1"/>
      <c r="I145" s="1"/>
      <c r="J145" s="1"/>
      <c r="K145" s="1"/>
      <c r="L145" s="1" t="s">
        <v>235</v>
      </c>
      <c r="M145" s="58">
        <v>0.3</v>
      </c>
      <c r="N145" s="1"/>
      <c r="O145" s="1"/>
      <c r="P145" s="1"/>
      <c r="Q145" s="1"/>
    </row>
    <row r="146" spans="2:17">
      <c r="B146" s="1"/>
      <c r="C146" s="2" t="s">
        <v>236</v>
      </c>
      <c r="D146" s="58">
        <v>2.5000000000000001E-2</v>
      </c>
      <c r="E146" s="1"/>
      <c r="F146" s="1"/>
      <c r="G146" s="1"/>
      <c r="H146" s="1"/>
      <c r="I146" s="1"/>
      <c r="J146" s="1"/>
      <c r="K146" s="1"/>
      <c r="L146" s="1" t="s">
        <v>237</v>
      </c>
      <c r="M146" s="58">
        <v>0</v>
      </c>
      <c r="N146" s="1"/>
      <c r="O146" s="1"/>
      <c r="P146" s="1"/>
      <c r="Q146" s="1"/>
    </row>
    <row r="147" spans="2:17">
      <c r="B147" s="1"/>
      <c r="C147" s="2" t="s">
        <v>238</v>
      </c>
      <c r="D147" s="58">
        <v>0.1</v>
      </c>
      <c r="E147" s="1"/>
      <c r="F147" s="1"/>
      <c r="G147" s="1"/>
      <c r="H147" s="1"/>
      <c r="I147" s="1"/>
      <c r="J147" s="1"/>
      <c r="K147" s="1"/>
      <c r="L147" s="1" t="s">
        <v>239</v>
      </c>
      <c r="M147" s="58">
        <v>0.05</v>
      </c>
      <c r="N147" s="1"/>
      <c r="O147" s="1"/>
      <c r="P147" s="1"/>
      <c r="Q147" s="1"/>
    </row>
    <row r="148" spans="2:17">
      <c r="B148" s="1"/>
      <c r="C148" s="2" t="s">
        <v>240</v>
      </c>
      <c r="D148" s="55">
        <v>250</v>
      </c>
      <c r="E148" s="1"/>
      <c r="F148" s="1"/>
      <c r="G148" s="1"/>
      <c r="H148" s="1"/>
      <c r="I148" s="1"/>
      <c r="J148" s="1"/>
      <c r="K148" s="1"/>
      <c r="L148" s="1" t="s">
        <v>241</v>
      </c>
      <c r="M148" s="64">
        <v>3</v>
      </c>
      <c r="N148" s="1"/>
      <c r="O148" s="1"/>
      <c r="P148" s="1"/>
      <c r="Q148" s="1"/>
    </row>
    <row r="149" spans="2:17">
      <c r="B149" s="1"/>
      <c r="C149" s="2" t="s">
        <v>242</v>
      </c>
      <c r="D149" s="59">
        <v>5</v>
      </c>
      <c r="E149" s="1"/>
      <c r="F149" s="1"/>
      <c r="G149" s="1"/>
      <c r="H149" s="1"/>
      <c r="I149" s="1"/>
      <c r="J149" s="1"/>
      <c r="K149" s="1"/>
      <c r="L149" s="1" t="s">
        <v>243</v>
      </c>
      <c r="M149" s="65">
        <v>0</v>
      </c>
      <c r="N149" s="1"/>
      <c r="O149" s="1"/>
      <c r="P149" s="1"/>
      <c r="Q149" s="1"/>
    </row>
    <row r="150" spans="2:17">
      <c r="B150" s="1"/>
      <c r="C150" s="2" t="s">
        <v>244</v>
      </c>
      <c r="D150" s="58">
        <v>0.25</v>
      </c>
      <c r="E150" s="1"/>
      <c r="F150" s="1"/>
      <c r="G150" s="1"/>
      <c r="H150" s="1"/>
      <c r="I150" s="1"/>
      <c r="J150" s="1"/>
      <c r="K150" s="1"/>
      <c r="L150" s="1" t="s">
        <v>245</v>
      </c>
      <c r="M150" s="58">
        <v>0.15</v>
      </c>
      <c r="N150" s="1"/>
      <c r="O150" s="1"/>
      <c r="P150" s="1"/>
      <c r="Q150" s="1"/>
    </row>
    <row r="151" spans="2:17">
      <c r="B151" s="1"/>
      <c r="C151" s="2" t="s">
        <v>246</v>
      </c>
      <c r="D151" s="58">
        <v>0.05</v>
      </c>
      <c r="E151" s="1"/>
      <c r="F151" s="1"/>
      <c r="G151" s="1"/>
      <c r="H151" s="1"/>
      <c r="I151" s="1"/>
      <c r="J151" s="1"/>
      <c r="K151" s="1"/>
      <c r="L151" s="1" t="s">
        <v>247</v>
      </c>
      <c r="M151" s="58">
        <v>0.21</v>
      </c>
      <c r="N151" s="1"/>
      <c r="O151" s="1"/>
      <c r="P151" s="1"/>
      <c r="Q151" s="1"/>
    </row>
    <row r="152" spans="2:17">
      <c r="B152" s="1"/>
      <c r="C152" s="2" t="s">
        <v>248</v>
      </c>
      <c r="D152" s="60">
        <v>40.76</v>
      </c>
      <c r="E152" s="1"/>
      <c r="F152" s="1"/>
      <c r="G152" s="1"/>
      <c r="H152" s="1"/>
      <c r="I152" s="1"/>
      <c r="J152" s="1"/>
      <c r="K152" s="1"/>
      <c r="L152" s="1" t="s">
        <v>249</v>
      </c>
      <c r="M152" s="59">
        <v>1.1000000000000001</v>
      </c>
      <c r="N152" s="1"/>
      <c r="O152" s="1"/>
      <c r="P152" s="1"/>
      <c r="Q152" s="1"/>
    </row>
    <row r="153" spans="2:17">
      <c r="B153" s="1"/>
      <c r="C153" s="2" t="s">
        <v>250</v>
      </c>
      <c r="D153" s="55">
        <v>60390</v>
      </c>
      <c r="E153" s="1"/>
      <c r="F153" s="1"/>
      <c r="G153" s="1"/>
      <c r="H153" s="1"/>
      <c r="I153" s="1"/>
      <c r="J153" s="1"/>
      <c r="K153" s="1"/>
      <c r="L153" s="1" t="s">
        <v>251</v>
      </c>
      <c r="M153" s="58">
        <v>-3.3333000000000002E-2</v>
      </c>
      <c r="N153" s="1"/>
      <c r="O153" s="1"/>
      <c r="P153" s="1"/>
      <c r="Q153" s="1"/>
    </row>
    <row r="154" spans="2:17">
      <c r="B154" s="1"/>
      <c r="C154" s="2" t="s">
        <v>252</v>
      </c>
      <c r="D154" s="58">
        <v>0.20300000000000001</v>
      </c>
      <c r="E154" s="1"/>
      <c r="F154" s="1"/>
      <c r="G154" s="1"/>
      <c r="H154" s="1"/>
      <c r="I154" s="1"/>
      <c r="J154" s="1"/>
      <c r="K154" s="1"/>
      <c r="L154" s="1" t="s">
        <v>253</v>
      </c>
      <c r="M154" s="64">
        <v>1517.499</v>
      </c>
      <c r="N154" s="1"/>
      <c r="O154" s="1"/>
      <c r="P154" s="1"/>
      <c r="Q154" s="1"/>
    </row>
    <row r="155" spans="2:17">
      <c r="B155" s="1"/>
      <c r="C155" s="2" t="s">
        <v>254</v>
      </c>
      <c r="D155" s="61">
        <v>2.5000000000000001E-2</v>
      </c>
      <c r="E155" s="1"/>
      <c r="F155" s="1"/>
      <c r="G155" s="1"/>
      <c r="H155" s="1"/>
      <c r="I155" s="1"/>
      <c r="J155" s="1"/>
      <c r="K155" s="1"/>
      <c r="L155" s="1" t="s">
        <v>255</v>
      </c>
      <c r="M155" s="56" t="s">
        <v>256</v>
      </c>
      <c r="N155" s="1"/>
      <c r="O155" s="1"/>
      <c r="P155" s="1"/>
      <c r="Q155" s="1"/>
    </row>
    <row r="156" spans="2:17" ht="21" customHeight="1">
      <c r="B156" s="177" t="s">
        <v>257</v>
      </c>
      <c r="C156" s="177"/>
      <c r="D156" s="177"/>
      <c r="E156" s="177"/>
      <c r="F156" s="177"/>
      <c r="G156" s="177"/>
      <c r="H156" s="177"/>
      <c r="I156" s="177"/>
      <c r="J156" s="177"/>
      <c r="K156" s="177"/>
      <c r="L156" s="177"/>
      <c r="M156" s="177"/>
      <c r="N156" s="177"/>
      <c r="O156" s="177"/>
      <c r="P156" s="177"/>
      <c r="Q156" s="177"/>
    </row>
    <row r="157" spans="2:17">
      <c r="B157" s="1"/>
      <c r="C157" s="4" t="s">
        <v>258</v>
      </c>
      <c r="D157" s="4" t="s">
        <v>186</v>
      </c>
      <c r="E157" s="43" t="s">
        <v>187</v>
      </c>
      <c r="F157" s="44" t="s">
        <v>188</v>
      </c>
      <c r="G157" s="44" t="s">
        <v>189</v>
      </c>
      <c r="H157" s="44" t="s">
        <v>190</v>
      </c>
      <c r="I157" s="45" t="s">
        <v>99</v>
      </c>
      <c r="J157" s="46" t="s">
        <v>100</v>
      </c>
      <c r="K157" s="47" t="s">
        <v>101</v>
      </c>
      <c r="L157" s="47" t="s">
        <v>102</v>
      </c>
      <c r="M157" s="47" t="s">
        <v>103</v>
      </c>
      <c r="N157" s="48" t="s">
        <v>104</v>
      </c>
      <c r="O157" s="4" t="s">
        <v>259</v>
      </c>
      <c r="P157" s="4" t="s">
        <v>260</v>
      </c>
      <c r="Q157" s="4" t="s">
        <v>261</v>
      </c>
    </row>
    <row r="158" spans="2:17" ht="25" customHeight="1">
      <c r="B158" s="1"/>
      <c r="C158" s="1" t="s">
        <v>107</v>
      </c>
      <c r="D158" s="1" t="s">
        <v>206</v>
      </c>
      <c r="E158" s="68">
        <v>46710</v>
      </c>
      <c r="F158" s="68">
        <v>51217</v>
      </c>
      <c r="G158" s="68">
        <v>51362</v>
      </c>
      <c r="H158" s="68">
        <v>46309</v>
      </c>
      <c r="I158" s="68">
        <v>46398</v>
      </c>
      <c r="J158" s="1"/>
      <c r="K158" s="1"/>
      <c r="L158" s="1"/>
      <c r="M158" s="1"/>
      <c r="N158" s="1"/>
      <c r="O158" s="71" t="s">
        <v>262</v>
      </c>
      <c r="P158" s="72" t="s">
        <v>263</v>
      </c>
      <c r="Q158" s="15" t="s">
        <v>264</v>
      </c>
    </row>
    <row r="159" spans="2:17" ht="25" customHeight="1">
      <c r="B159" s="1"/>
      <c r="C159" s="1" t="s">
        <v>265</v>
      </c>
      <c r="D159" s="1" t="s">
        <v>206</v>
      </c>
      <c r="E159" s="68">
        <v>25231</v>
      </c>
      <c r="F159" s="68">
        <v>28925</v>
      </c>
      <c r="G159" s="68">
        <v>28475</v>
      </c>
      <c r="H159" s="68">
        <v>26519</v>
      </c>
      <c r="I159" s="68">
        <v>26487</v>
      </c>
      <c r="J159" s="1"/>
      <c r="K159" s="1"/>
      <c r="L159" s="1"/>
      <c r="M159" s="1"/>
      <c r="N159" s="1"/>
      <c r="O159" s="73" t="s">
        <v>262</v>
      </c>
      <c r="P159" s="74" t="s">
        <v>263</v>
      </c>
      <c r="Q159" s="19" t="s">
        <v>264</v>
      </c>
    </row>
    <row r="160" spans="2:17" ht="25" customHeight="1">
      <c r="B160" s="1"/>
      <c r="C160" s="1" t="s">
        <v>164</v>
      </c>
      <c r="D160" s="1" t="s">
        <v>206</v>
      </c>
      <c r="E160" s="68">
        <v>21479</v>
      </c>
      <c r="F160" s="68">
        <v>22292</v>
      </c>
      <c r="G160" s="68">
        <v>22887</v>
      </c>
      <c r="H160" s="68">
        <v>19790</v>
      </c>
      <c r="I160" s="68">
        <v>19911</v>
      </c>
      <c r="J160" s="1"/>
      <c r="K160" s="1"/>
      <c r="L160" s="1"/>
      <c r="M160" s="1"/>
      <c r="N160" s="1"/>
      <c r="O160" s="73" t="s">
        <v>262</v>
      </c>
      <c r="P160" s="74" t="s">
        <v>263</v>
      </c>
      <c r="Q160" s="19" t="s">
        <v>264</v>
      </c>
    </row>
    <row r="161" spans="2:17" ht="25" customHeight="1">
      <c r="B161" s="1"/>
      <c r="C161" s="1" t="s">
        <v>266</v>
      </c>
      <c r="D161" s="1" t="s">
        <v>206</v>
      </c>
      <c r="E161" s="68">
        <v>3850</v>
      </c>
      <c r="F161" s="68">
        <v>4060</v>
      </c>
      <c r="G161" s="68">
        <v>4285</v>
      </c>
      <c r="H161" s="68">
        <v>4689</v>
      </c>
      <c r="I161" s="68">
        <v>4754</v>
      </c>
      <c r="J161" s="1"/>
      <c r="K161" s="1"/>
      <c r="L161" s="1"/>
      <c r="M161" s="1"/>
      <c r="N161" s="1"/>
      <c r="O161" s="73" t="s">
        <v>262</v>
      </c>
      <c r="P161" s="74" t="s">
        <v>263</v>
      </c>
      <c r="Q161" s="19" t="s">
        <v>264</v>
      </c>
    </row>
    <row r="162" spans="2:17" ht="25" customHeight="1">
      <c r="B162" s="1"/>
      <c r="C162" s="1" t="s">
        <v>267</v>
      </c>
      <c r="D162" s="1" t="s">
        <v>206</v>
      </c>
      <c r="E162" s="68">
        <v>10954</v>
      </c>
      <c r="F162" s="68">
        <v>12317</v>
      </c>
      <c r="G162" s="68">
        <v>12291</v>
      </c>
      <c r="H162" s="68">
        <v>11399</v>
      </c>
      <c r="I162" s="68">
        <v>11360</v>
      </c>
      <c r="J162" s="1"/>
      <c r="K162" s="1"/>
      <c r="L162" s="1"/>
      <c r="M162" s="1"/>
      <c r="N162" s="1"/>
      <c r="O162" s="73" t="s">
        <v>262</v>
      </c>
      <c r="P162" s="74" t="s">
        <v>263</v>
      </c>
      <c r="Q162" s="19" t="s">
        <v>264</v>
      </c>
    </row>
    <row r="163" spans="2:17" ht="25" customHeight="1">
      <c r="B163" s="1"/>
      <c r="C163" s="1" t="s">
        <v>268</v>
      </c>
      <c r="D163" s="1" t="s">
        <v>206</v>
      </c>
      <c r="E163" s="68">
        <v>205</v>
      </c>
      <c r="F163" s="68">
        <v>-6</v>
      </c>
      <c r="G163" s="68">
        <v>-161</v>
      </c>
      <c r="H163" s="68">
        <v>-107</v>
      </c>
      <c r="I163" s="68">
        <v>-50</v>
      </c>
      <c r="J163" s="1"/>
      <c r="K163" s="1"/>
      <c r="L163" s="1"/>
      <c r="M163" s="1"/>
      <c r="N163" s="1"/>
      <c r="O163" s="73" t="s">
        <v>262</v>
      </c>
      <c r="P163" s="74" t="s">
        <v>263</v>
      </c>
      <c r="Q163" s="19" t="s">
        <v>264</v>
      </c>
    </row>
    <row r="164" spans="2:17" ht="25" customHeight="1">
      <c r="B164" s="1"/>
      <c r="C164" s="1" t="s">
        <v>269</v>
      </c>
      <c r="D164" s="1" t="s">
        <v>206</v>
      </c>
      <c r="E164" s="68">
        <v>-181</v>
      </c>
      <c r="F164" s="68">
        <v>-280</v>
      </c>
      <c r="G164" s="68">
        <v>-228</v>
      </c>
      <c r="H164" s="68">
        <v>-76</v>
      </c>
      <c r="I164" s="68">
        <v>-53</v>
      </c>
      <c r="J164" s="1"/>
      <c r="K164" s="1"/>
      <c r="L164" s="1"/>
      <c r="M164" s="1"/>
      <c r="N164" s="1"/>
      <c r="O164" s="73" t="s">
        <v>262</v>
      </c>
      <c r="P164" s="74" t="s">
        <v>263</v>
      </c>
      <c r="Q164" s="19" t="s">
        <v>264</v>
      </c>
    </row>
    <row r="165" spans="2:17" ht="25" customHeight="1">
      <c r="B165" s="1"/>
      <c r="C165" s="1" t="s">
        <v>270</v>
      </c>
      <c r="D165" s="1" t="s">
        <v>206</v>
      </c>
      <c r="E165" s="68">
        <v>6651</v>
      </c>
      <c r="F165" s="68">
        <v>6201</v>
      </c>
      <c r="G165" s="68">
        <v>6700</v>
      </c>
      <c r="H165" s="68">
        <v>3885</v>
      </c>
      <c r="I165" s="68">
        <v>3900</v>
      </c>
      <c r="J165" s="1"/>
      <c r="K165" s="1"/>
      <c r="L165" s="1"/>
      <c r="M165" s="1"/>
      <c r="N165" s="1"/>
      <c r="O165" s="73" t="s">
        <v>262</v>
      </c>
      <c r="P165" s="74" t="s">
        <v>263</v>
      </c>
      <c r="Q165" s="19" t="s">
        <v>264</v>
      </c>
    </row>
    <row r="166" spans="2:17" ht="25" customHeight="1">
      <c r="B166" s="1"/>
      <c r="C166" s="1" t="s">
        <v>271</v>
      </c>
      <c r="D166" s="1" t="s">
        <v>206</v>
      </c>
      <c r="E166" s="68">
        <v>605</v>
      </c>
      <c r="F166" s="68">
        <v>1131</v>
      </c>
      <c r="G166" s="68">
        <v>1000</v>
      </c>
      <c r="H166" s="68">
        <v>666</v>
      </c>
      <c r="I166" s="68">
        <v>792</v>
      </c>
      <c r="J166" s="1"/>
      <c r="K166" s="1"/>
      <c r="L166" s="1"/>
      <c r="M166" s="1"/>
      <c r="N166" s="1"/>
      <c r="O166" s="73" t="s">
        <v>262</v>
      </c>
      <c r="P166" s="74" t="s">
        <v>263</v>
      </c>
      <c r="Q166" s="19" t="s">
        <v>264</v>
      </c>
    </row>
    <row r="167" spans="2:17" ht="25" customHeight="1">
      <c r="B167" s="1"/>
      <c r="C167" s="1" t="s">
        <v>111</v>
      </c>
      <c r="D167" s="1" t="s">
        <v>206</v>
      </c>
      <c r="E167" s="68">
        <v>6046</v>
      </c>
      <c r="F167" s="68">
        <v>5070</v>
      </c>
      <c r="G167" s="68">
        <v>5700</v>
      </c>
      <c r="H167" s="68">
        <v>3219</v>
      </c>
      <c r="I167" s="68">
        <v>3108</v>
      </c>
      <c r="J167" s="1"/>
      <c r="K167" s="1"/>
      <c r="L167" s="1"/>
      <c r="M167" s="1"/>
      <c r="N167" s="1"/>
      <c r="O167" s="73" t="s">
        <v>262</v>
      </c>
      <c r="P167" s="74" t="s">
        <v>263</v>
      </c>
      <c r="Q167" s="19" t="s">
        <v>264</v>
      </c>
    </row>
    <row r="168" spans="2:17" ht="25" customHeight="1">
      <c r="B168" s="1"/>
      <c r="C168" s="1" t="s">
        <v>117</v>
      </c>
      <c r="D168" s="1" t="s">
        <v>272</v>
      </c>
      <c r="E168" s="69">
        <v>3.75</v>
      </c>
      <c r="F168" s="69">
        <v>3.23</v>
      </c>
      <c r="G168" s="69">
        <v>3.73</v>
      </c>
      <c r="H168" s="69">
        <v>2.16</v>
      </c>
      <c r="I168" s="69">
        <v>2.1</v>
      </c>
      <c r="J168" s="1"/>
      <c r="K168" s="1"/>
      <c r="L168" s="1"/>
      <c r="M168" s="1"/>
      <c r="N168" s="1"/>
      <c r="O168" s="73" t="s">
        <v>262</v>
      </c>
      <c r="P168" s="74" t="s">
        <v>263</v>
      </c>
      <c r="Q168" s="19" t="s">
        <v>264</v>
      </c>
    </row>
    <row r="169" spans="2:17" ht="25" customHeight="1">
      <c r="B169" s="1"/>
      <c r="C169" s="1" t="s">
        <v>273</v>
      </c>
      <c r="D169" s="1" t="s">
        <v>274</v>
      </c>
      <c r="E169" s="70">
        <v>1610.8</v>
      </c>
      <c r="F169" s="70">
        <v>1569.8</v>
      </c>
      <c r="G169" s="70">
        <v>1529.7</v>
      </c>
      <c r="H169" s="70">
        <v>1487.6</v>
      </c>
      <c r="I169" s="70">
        <v>1481</v>
      </c>
      <c r="J169" s="1"/>
      <c r="K169" s="1"/>
      <c r="L169" s="1"/>
      <c r="M169" s="1"/>
      <c r="N169" s="1"/>
      <c r="O169" s="73" t="s">
        <v>262</v>
      </c>
      <c r="P169" s="74" t="s">
        <v>263</v>
      </c>
      <c r="Q169" s="19" t="s">
        <v>264</v>
      </c>
    </row>
    <row r="170" spans="2:17" ht="25" customHeight="1">
      <c r="B170" s="1"/>
      <c r="C170" s="1" t="s">
        <v>275</v>
      </c>
      <c r="D170" s="1" t="s">
        <v>206</v>
      </c>
      <c r="E170" s="68">
        <v>717</v>
      </c>
      <c r="F170" s="68">
        <v>703</v>
      </c>
      <c r="G170" s="68">
        <v>796</v>
      </c>
      <c r="H170" s="68">
        <v>775</v>
      </c>
      <c r="I170" s="68">
        <v>747</v>
      </c>
      <c r="J170" s="1"/>
      <c r="K170" s="1"/>
      <c r="L170" s="1"/>
      <c r="M170" s="1"/>
      <c r="N170" s="1"/>
      <c r="O170" s="73" t="s">
        <v>262</v>
      </c>
      <c r="P170" s="74" t="s">
        <v>263</v>
      </c>
      <c r="Q170" s="19" t="s">
        <v>276</v>
      </c>
    </row>
    <row r="171" spans="2:17" ht="25" customHeight="1">
      <c r="B171" s="1"/>
      <c r="C171" s="1" t="s">
        <v>277</v>
      </c>
      <c r="D171" s="1" t="s">
        <v>206</v>
      </c>
      <c r="E171" s="68">
        <v>638</v>
      </c>
      <c r="F171" s="68">
        <v>755</v>
      </c>
      <c r="G171" s="68">
        <v>804</v>
      </c>
      <c r="H171" s="68">
        <v>709</v>
      </c>
      <c r="I171" s="68">
        <v>715</v>
      </c>
      <c r="J171" s="1"/>
      <c r="K171" s="1"/>
      <c r="L171" s="1"/>
      <c r="M171" s="1"/>
      <c r="N171" s="1"/>
      <c r="O171" s="73" t="s">
        <v>262</v>
      </c>
      <c r="P171" s="74" t="s">
        <v>263</v>
      </c>
      <c r="Q171" s="19" t="s">
        <v>264</v>
      </c>
    </row>
    <row r="172" spans="2:17" ht="25" customHeight="1">
      <c r="B172" s="1"/>
      <c r="C172" s="1" t="s">
        <v>278</v>
      </c>
      <c r="D172" s="1" t="s">
        <v>206</v>
      </c>
      <c r="E172" s="68">
        <v>-650</v>
      </c>
      <c r="F172" s="68">
        <v>-117</v>
      </c>
      <c r="G172" s="68">
        <v>-497</v>
      </c>
      <c r="H172" s="68">
        <v>-288</v>
      </c>
      <c r="I172" s="68">
        <v>-96</v>
      </c>
      <c r="J172" s="1"/>
      <c r="K172" s="1"/>
      <c r="L172" s="1"/>
      <c r="M172" s="1"/>
      <c r="N172" s="1"/>
      <c r="O172" s="73" t="s">
        <v>262</v>
      </c>
      <c r="P172" s="74" t="s">
        <v>263</v>
      </c>
      <c r="Q172" s="19" t="s">
        <v>264</v>
      </c>
    </row>
    <row r="173" spans="2:17" ht="25" customHeight="1">
      <c r="B173" s="1"/>
      <c r="C173" s="1" t="s">
        <v>279</v>
      </c>
      <c r="D173" s="1" t="s">
        <v>206</v>
      </c>
      <c r="E173" s="68">
        <v>123</v>
      </c>
      <c r="F173" s="68">
        <v>156</v>
      </c>
      <c r="G173" s="68">
        <v>48</v>
      </c>
      <c r="H173" s="68">
        <v>33</v>
      </c>
      <c r="I173" s="68">
        <v>50</v>
      </c>
      <c r="J173" s="1"/>
      <c r="K173" s="1"/>
      <c r="L173" s="1"/>
      <c r="M173" s="1"/>
      <c r="N173" s="1"/>
      <c r="O173" s="73" t="s">
        <v>262</v>
      </c>
      <c r="P173" s="74" t="s">
        <v>263</v>
      </c>
      <c r="Q173" s="19" t="s">
        <v>264</v>
      </c>
    </row>
    <row r="174" spans="2:17" ht="25" customHeight="1">
      <c r="B174" s="1"/>
      <c r="C174" s="1" t="s">
        <v>280</v>
      </c>
      <c r="D174" s="1" t="s">
        <v>206</v>
      </c>
      <c r="E174" s="68">
        <v>-26</v>
      </c>
      <c r="F174" s="68">
        <v>-213</v>
      </c>
      <c r="G174" s="68">
        <v>-138</v>
      </c>
      <c r="H174" s="68">
        <v>37</v>
      </c>
      <c r="I174" s="68">
        <v>22</v>
      </c>
      <c r="J174" s="1"/>
      <c r="K174" s="1"/>
      <c r="L174" s="1"/>
      <c r="M174" s="1"/>
      <c r="N174" s="1"/>
      <c r="O174" s="73" t="s">
        <v>262</v>
      </c>
      <c r="P174" s="74" t="s">
        <v>263</v>
      </c>
      <c r="Q174" s="19" t="s">
        <v>264</v>
      </c>
    </row>
    <row r="175" spans="2:17" ht="25" customHeight="1">
      <c r="B175" s="1"/>
      <c r="C175" s="1" t="s">
        <v>281</v>
      </c>
      <c r="D175" s="1" t="s">
        <v>206</v>
      </c>
      <c r="E175" s="68">
        <v>-504</v>
      </c>
      <c r="F175" s="68">
        <v>489</v>
      </c>
      <c r="G175" s="68">
        <v>-329</v>
      </c>
      <c r="H175" s="68">
        <v>-257</v>
      </c>
      <c r="I175" s="68">
        <v>-1207</v>
      </c>
      <c r="J175" s="1"/>
      <c r="K175" s="1"/>
      <c r="L175" s="1"/>
      <c r="M175" s="1"/>
      <c r="N175" s="1"/>
      <c r="O175" s="73" t="s">
        <v>262</v>
      </c>
      <c r="P175" s="74" t="s">
        <v>263</v>
      </c>
      <c r="Q175" s="19" t="s">
        <v>264</v>
      </c>
    </row>
    <row r="176" spans="2:17" ht="25" customHeight="1">
      <c r="B176" s="1"/>
      <c r="C176" s="1" t="s">
        <v>282</v>
      </c>
      <c r="D176" s="1" t="s">
        <v>206</v>
      </c>
      <c r="E176" s="68">
        <v>-1676</v>
      </c>
      <c r="F176" s="68">
        <v>-133</v>
      </c>
      <c r="G176" s="68">
        <v>908</v>
      </c>
      <c r="H176" s="68">
        <v>120</v>
      </c>
      <c r="I176" s="68">
        <v>-31</v>
      </c>
      <c r="J176" s="1"/>
      <c r="K176" s="1"/>
      <c r="L176" s="1"/>
      <c r="M176" s="1"/>
      <c r="N176" s="1"/>
      <c r="O176" s="73" t="s">
        <v>262</v>
      </c>
      <c r="P176" s="74" t="s">
        <v>263</v>
      </c>
      <c r="Q176" s="19" t="s">
        <v>264</v>
      </c>
    </row>
    <row r="177" spans="2:17" ht="25" customHeight="1">
      <c r="B177" s="1"/>
      <c r="C177" s="1" t="s">
        <v>283</v>
      </c>
      <c r="D177" s="1" t="s">
        <v>206</v>
      </c>
      <c r="E177" s="68">
        <v>-845</v>
      </c>
      <c r="F177" s="68">
        <v>-644</v>
      </c>
      <c r="G177" s="68">
        <v>-260</v>
      </c>
      <c r="H177" s="68">
        <v>-224</v>
      </c>
      <c r="I177" s="68">
        <v>519</v>
      </c>
      <c r="J177" s="1"/>
      <c r="K177" s="1"/>
      <c r="L177" s="1"/>
      <c r="M177" s="1"/>
      <c r="N177" s="1"/>
      <c r="O177" s="73" t="s">
        <v>262</v>
      </c>
      <c r="P177" s="74" t="s">
        <v>263</v>
      </c>
      <c r="Q177" s="19" t="s">
        <v>264</v>
      </c>
    </row>
    <row r="178" spans="2:17" ht="25" customHeight="1">
      <c r="B178" s="1"/>
      <c r="C178" s="1" t="s">
        <v>284</v>
      </c>
      <c r="D178" s="1" t="s">
        <v>206</v>
      </c>
      <c r="E178" s="68">
        <v>1365</v>
      </c>
      <c r="F178" s="68">
        <v>-225</v>
      </c>
      <c r="G178" s="68">
        <v>397</v>
      </c>
      <c r="H178" s="68">
        <v>-426</v>
      </c>
      <c r="I178" s="68">
        <v>-959</v>
      </c>
      <c r="J178" s="1"/>
      <c r="K178" s="1"/>
      <c r="L178" s="1"/>
      <c r="M178" s="1"/>
      <c r="N178" s="1"/>
      <c r="O178" s="73" t="s">
        <v>262</v>
      </c>
      <c r="P178" s="74" t="s">
        <v>263</v>
      </c>
      <c r="Q178" s="19" t="s">
        <v>264</v>
      </c>
    </row>
    <row r="179" spans="2:17" ht="25" customHeight="1">
      <c r="B179" s="1"/>
      <c r="C179" s="1" t="s">
        <v>113</v>
      </c>
      <c r="D179" s="1" t="s">
        <v>206</v>
      </c>
      <c r="E179" s="68">
        <v>5188</v>
      </c>
      <c r="F179" s="68">
        <v>5841</v>
      </c>
      <c r="G179" s="68">
        <v>7429</v>
      </c>
      <c r="H179" s="68">
        <v>3698</v>
      </c>
      <c r="I179" s="68">
        <v>2868</v>
      </c>
      <c r="J179" s="1"/>
      <c r="K179" s="1"/>
      <c r="L179" s="1"/>
      <c r="M179" s="1"/>
      <c r="N179" s="1"/>
      <c r="O179" s="73" t="s">
        <v>262</v>
      </c>
      <c r="P179" s="74" t="s">
        <v>263</v>
      </c>
      <c r="Q179" s="19" t="s">
        <v>264</v>
      </c>
    </row>
    <row r="180" spans="2:17" ht="25" customHeight="1">
      <c r="B180" s="1"/>
      <c r="C180" s="1" t="s">
        <v>285</v>
      </c>
      <c r="D180" s="1" t="s">
        <v>206</v>
      </c>
      <c r="E180" s="68">
        <v>758</v>
      </c>
      <c r="F180" s="68">
        <v>969</v>
      </c>
      <c r="G180" s="68">
        <v>812</v>
      </c>
      <c r="H180" s="68">
        <v>430</v>
      </c>
      <c r="I180" s="68">
        <v>684</v>
      </c>
      <c r="J180" s="1"/>
      <c r="K180" s="1"/>
      <c r="L180" s="1"/>
      <c r="M180" s="1"/>
      <c r="N180" s="1"/>
      <c r="O180" s="73" t="s">
        <v>262</v>
      </c>
      <c r="P180" s="74" t="s">
        <v>263</v>
      </c>
      <c r="Q180" s="19" t="s">
        <v>264</v>
      </c>
    </row>
    <row r="181" spans="2:17" ht="25" customHeight="1">
      <c r="B181" s="1"/>
      <c r="C181" s="1" t="s">
        <v>286</v>
      </c>
      <c r="D181" s="1" t="s">
        <v>206</v>
      </c>
      <c r="E181" s="68">
        <v>-1524</v>
      </c>
      <c r="F181" s="68">
        <v>564</v>
      </c>
      <c r="G181" s="68">
        <v>894</v>
      </c>
      <c r="H181" s="68">
        <v>-275</v>
      </c>
      <c r="I181" s="68">
        <v>-488</v>
      </c>
      <c r="J181" s="1"/>
      <c r="K181" s="1"/>
      <c r="L181" s="1"/>
      <c r="M181" s="1"/>
      <c r="N181" s="1"/>
      <c r="O181" s="73" t="s">
        <v>262</v>
      </c>
      <c r="P181" s="74" t="s">
        <v>263</v>
      </c>
      <c r="Q181" s="19" t="s">
        <v>264</v>
      </c>
    </row>
    <row r="182" spans="2:17" ht="25" customHeight="1">
      <c r="B182" s="1"/>
      <c r="C182" s="1" t="s">
        <v>287</v>
      </c>
      <c r="D182" s="1" t="s">
        <v>206</v>
      </c>
      <c r="E182" s="68">
        <v>15</v>
      </c>
      <c r="F182" s="68">
        <v>-504</v>
      </c>
      <c r="G182" s="68">
        <v>0</v>
      </c>
      <c r="H182" s="68">
        <v>-1000</v>
      </c>
      <c r="I182" s="68">
        <v>0</v>
      </c>
      <c r="J182" s="1"/>
      <c r="K182" s="1"/>
      <c r="L182" s="1"/>
      <c r="M182" s="1"/>
      <c r="N182" s="1"/>
      <c r="O182" s="73" t="s">
        <v>262</v>
      </c>
      <c r="P182" s="74" t="s">
        <v>263</v>
      </c>
      <c r="Q182" s="19" t="s">
        <v>264</v>
      </c>
    </row>
    <row r="183" spans="2:17" ht="25" customHeight="1">
      <c r="B183" s="1"/>
      <c r="C183" s="1" t="s">
        <v>288</v>
      </c>
      <c r="D183" s="1" t="s">
        <v>206</v>
      </c>
      <c r="E183" s="68">
        <v>1000</v>
      </c>
      <c r="F183" s="68">
        <v>549</v>
      </c>
      <c r="G183" s="68">
        <v>531</v>
      </c>
      <c r="H183" s="68">
        <v>465</v>
      </c>
      <c r="I183" s="68">
        <v>261</v>
      </c>
      <c r="J183" s="1"/>
      <c r="K183" s="1"/>
      <c r="L183" s="1"/>
      <c r="M183" s="1"/>
      <c r="N183" s="1"/>
      <c r="O183" s="73" t="s">
        <v>289</v>
      </c>
      <c r="P183" s="74" t="s">
        <v>263</v>
      </c>
      <c r="Q183" s="19" t="s">
        <v>290</v>
      </c>
    </row>
    <row r="184" spans="2:17" ht="25" customHeight="1">
      <c r="B184" s="1"/>
      <c r="C184" s="1" t="s">
        <v>291</v>
      </c>
      <c r="D184" s="1" t="s">
        <v>206</v>
      </c>
      <c r="E184" s="68">
        <v>1837</v>
      </c>
      <c r="F184" s="68">
        <v>2012</v>
      </c>
      <c r="G184" s="68">
        <v>2169</v>
      </c>
      <c r="H184" s="68">
        <v>2300</v>
      </c>
      <c r="I184" s="68">
        <v>2407</v>
      </c>
      <c r="J184" s="1"/>
      <c r="K184" s="1"/>
      <c r="L184" s="1"/>
      <c r="M184" s="1"/>
      <c r="N184" s="1"/>
      <c r="O184" s="73" t="s">
        <v>262</v>
      </c>
      <c r="P184" s="74" t="s">
        <v>263</v>
      </c>
      <c r="Q184" s="19" t="s">
        <v>264</v>
      </c>
    </row>
    <row r="185" spans="2:17" ht="25" customHeight="1">
      <c r="B185" s="1"/>
      <c r="C185" s="1" t="s">
        <v>205</v>
      </c>
      <c r="D185" s="1" t="s">
        <v>206</v>
      </c>
      <c r="E185" s="68">
        <v>4014</v>
      </c>
      <c r="F185" s="68">
        <v>5480</v>
      </c>
      <c r="G185" s="68">
        <v>4250</v>
      </c>
      <c r="H185" s="68">
        <v>2985</v>
      </c>
      <c r="I185" s="68">
        <v>146</v>
      </c>
      <c r="J185" s="1"/>
      <c r="K185" s="1"/>
      <c r="L185" s="1"/>
      <c r="M185" s="1"/>
      <c r="N185" s="1"/>
      <c r="O185" s="73" t="s">
        <v>262</v>
      </c>
      <c r="P185" s="74" t="s">
        <v>263</v>
      </c>
      <c r="Q185" s="19" t="s">
        <v>264</v>
      </c>
    </row>
    <row r="186" spans="2:17" ht="25" customHeight="1">
      <c r="B186" s="1"/>
      <c r="C186" s="1" t="s">
        <v>292</v>
      </c>
      <c r="D186" s="1" t="s">
        <v>206</v>
      </c>
      <c r="E186" s="68">
        <v>-4836</v>
      </c>
      <c r="F186" s="68">
        <v>-7447</v>
      </c>
      <c r="G186" s="68">
        <v>-5888</v>
      </c>
      <c r="H186" s="68">
        <v>-5820</v>
      </c>
      <c r="I186" s="68">
        <v>-2292</v>
      </c>
      <c r="J186" s="1"/>
      <c r="K186" s="1"/>
      <c r="L186" s="1"/>
      <c r="M186" s="1"/>
      <c r="N186" s="1"/>
      <c r="O186" s="73" t="s">
        <v>262</v>
      </c>
      <c r="P186" s="74" t="s">
        <v>263</v>
      </c>
      <c r="Q186" s="19" t="s">
        <v>264</v>
      </c>
    </row>
    <row r="187" spans="2:17" ht="25" customHeight="1">
      <c r="B187" s="1"/>
      <c r="C187" s="1" t="s">
        <v>293</v>
      </c>
      <c r="D187" s="1" t="s">
        <v>206</v>
      </c>
      <c r="E187" s="68">
        <v>-143</v>
      </c>
      <c r="F187" s="68">
        <v>-91</v>
      </c>
      <c r="G187" s="68">
        <v>-16</v>
      </c>
      <c r="H187" s="68">
        <v>1</v>
      </c>
      <c r="I187" s="68">
        <v>11</v>
      </c>
      <c r="J187" s="1"/>
      <c r="K187" s="1"/>
      <c r="L187" s="1"/>
      <c r="M187" s="1"/>
      <c r="N187" s="1"/>
      <c r="O187" s="73" t="s">
        <v>262</v>
      </c>
      <c r="P187" s="74" t="s">
        <v>263</v>
      </c>
      <c r="Q187" s="19" t="s">
        <v>264</v>
      </c>
    </row>
    <row r="188" spans="2:17" ht="25" customHeight="1">
      <c r="B188" s="1"/>
      <c r="C188" s="1" t="s">
        <v>294</v>
      </c>
      <c r="D188" s="1" t="s">
        <v>206</v>
      </c>
      <c r="E188" s="68">
        <v>-1315</v>
      </c>
      <c r="F188" s="68">
        <v>-1133</v>
      </c>
      <c r="G188" s="68">
        <v>2419</v>
      </c>
      <c r="H188" s="68">
        <v>-2396</v>
      </c>
      <c r="I188" s="68">
        <v>99</v>
      </c>
      <c r="J188" s="1"/>
      <c r="K188" s="1"/>
      <c r="L188" s="1"/>
      <c r="M188" s="1"/>
      <c r="N188" s="1"/>
      <c r="O188" s="73" t="s">
        <v>262</v>
      </c>
      <c r="P188" s="74" t="s">
        <v>263</v>
      </c>
      <c r="Q188" s="19" t="s">
        <v>264</v>
      </c>
    </row>
    <row r="189" spans="2:17" ht="25" customHeight="1">
      <c r="B189" s="1"/>
      <c r="C189" s="1" t="s">
        <v>295</v>
      </c>
      <c r="D189" s="1" t="s">
        <v>206</v>
      </c>
      <c r="E189" s="68">
        <v>9889</v>
      </c>
      <c r="F189" s="68">
        <v>8574</v>
      </c>
      <c r="G189" s="68">
        <v>7441</v>
      </c>
      <c r="H189" s="68">
        <v>9860</v>
      </c>
      <c r="I189" s="68">
        <v>7464</v>
      </c>
      <c r="J189" s="1"/>
      <c r="K189" s="1"/>
      <c r="L189" s="1"/>
      <c r="M189" s="1"/>
      <c r="N189" s="1"/>
      <c r="O189" s="73" t="s">
        <v>262</v>
      </c>
      <c r="P189" s="74" t="s">
        <v>263</v>
      </c>
      <c r="Q189" s="19" t="s">
        <v>264</v>
      </c>
    </row>
    <row r="190" spans="2:17" ht="25" customHeight="1">
      <c r="B190" s="1"/>
      <c r="C190" s="1" t="s">
        <v>296</v>
      </c>
      <c r="D190" s="1" t="s">
        <v>206</v>
      </c>
      <c r="E190" s="68">
        <v>8574</v>
      </c>
      <c r="F190" s="68">
        <v>7441</v>
      </c>
      <c r="G190" s="68">
        <v>9860</v>
      </c>
      <c r="H190" s="68">
        <v>7464</v>
      </c>
      <c r="I190" s="68">
        <v>7563</v>
      </c>
      <c r="J190" s="1"/>
      <c r="K190" s="1"/>
      <c r="L190" s="1"/>
      <c r="M190" s="1"/>
      <c r="N190" s="1"/>
      <c r="O190" s="73" t="s">
        <v>262</v>
      </c>
      <c r="P190" s="74" t="s">
        <v>263</v>
      </c>
      <c r="Q190" s="19" t="s">
        <v>264</v>
      </c>
    </row>
    <row r="191" spans="2:17" ht="25" customHeight="1">
      <c r="B191" s="1"/>
      <c r="C191" s="1" t="s">
        <v>297</v>
      </c>
      <c r="D191" s="1" t="s">
        <v>206</v>
      </c>
      <c r="E191" s="68">
        <v>8574</v>
      </c>
      <c r="F191" s="68">
        <v>7441</v>
      </c>
      <c r="G191" s="68">
        <v>9860</v>
      </c>
      <c r="H191" s="68">
        <v>7464</v>
      </c>
      <c r="I191" s="68">
        <v>7563</v>
      </c>
      <c r="J191" s="1"/>
      <c r="K191" s="1"/>
      <c r="L191" s="1"/>
      <c r="M191" s="1"/>
      <c r="N191" s="1"/>
      <c r="O191" s="73" t="s">
        <v>262</v>
      </c>
      <c r="P191" s="74" t="s">
        <v>263</v>
      </c>
      <c r="Q191" s="19" t="s">
        <v>264</v>
      </c>
    </row>
    <row r="192" spans="2:17" ht="25" customHeight="1">
      <c r="B192" s="1"/>
      <c r="C192" s="1" t="s">
        <v>298</v>
      </c>
      <c r="D192" s="1" t="s">
        <v>206</v>
      </c>
      <c r="E192" s="68">
        <v>4423</v>
      </c>
      <c r="F192" s="68">
        <v>3234</v>
      </c>
      <c r="G192" s="68">
        <v>1722</v>
      </c>
      <c r="H192" s="68">
        <v>1687</v>
      </c>
      <c r="I192" s="68">
        <v>1464</v>
      </c>
      <c r="J192" s="1"/>
      <c r="K192" s="1"/>
      <c r="L192" s="1"/>
      <c r="M192" s="1"/>
      <c r="N192" s="1"/>
      <c r="O192" s="73" t="s">
        <v>262</v>
      </c>
      <c r="P192" s="74" t="s">
        <v>263</v>
      </c>
      <c r="Q192" s="19" t="s">
        <v>264</v>
      </c>
    </row>
    <row r="193" spans="2:17" ht="25" customHeight="1">
      <c r="B193" s="1"/>
      <c r="C193" s="1" t="s">
        <v>299</v>
      </c>
      <c r="D193" s="1" t="s">
        <v>206</v>
      </c>
      <c r="E193" s="68">
        <v>4667</v>
      </c>
      <c r="F193" s="68">
        <v>4131</v>
      </c>
      <c r="G193" s="68">
        <v>4427</v>
      </c>
      <c r="H193" s="68">
        <v>4717</v>
      </c>
      <c r="I193" s="68">
        <v>5931</v>
      </c>
      <c r="J193" s="1"/>
      <c r="K193" s="1"/>
      <c r="L193" s="1"/>
      <c r="M193" s="1"/>
      <c r="N193" s="1"/>
      <c r="O193" s="73" t="s">
        <v>262</v>
      </c>
      <c r="P193" s="74" t="s">
        <v>263</v>
      </c>
      <c r="Q193" s="19" t="s">
        <v>264</v>
      </c>
    </row>
    <row r="194" spans="2:17" ht="25" customHeight="1">
      <c r="B194" s="1"/>
      <c r="C194" s="1" t="s">
        <v>300</v>
      </c>
      <c r="D194" s="1" t="s">
        <v>206</v>
      </c>
      <c r="E194" s="68">
        <v>8420</v>
      </c>
      <c r="F194" s="68">
        <v>8454</v>
      </c>
      <c r="G194" s="68">
        <v>7519</v>
      </c>
      <c r="H194" s="68">
        <v>7489</v>
      </c>
      <c r="I194" s="68">
        <v>7501</v>
      </c>
      <c r="J194" s="1"/>
      <c r="K194" s="1"/>
      <c r="L194" s="1"/>
      <c r="M194" s="1"/>
      <c r="N194" s="1"/>
      <c r="O194" s="73" t="s">
        <v>262</v>
      </c>
      <c r="P194" s="74" t="s">
        <v>263</v>
      </c>
      <c r="Q194" s="19" t="s">
        <v>264</v>
      </c>
    </row>
    <row r="195" spans="2:17" ht="25" customHeight="1">
      <c r="B195" s="1"/>
      <c r="C195" s="1" t="s">
        <v>301</v>
      </c>
      <c r="D195" s="1" t="s">
        <v>206</v>
      </c>
      <c r="E195" s="68">
        <v>2129</v>
      </c>
      <c r="F195" s="68">
        <v>1942</v>
      </c>
      <c r="G195" s="68">
        <v>1854</v>
      </c>
      <c r="H195" s="68">
        <v>2005</v>
      </c>
      <c r="I195" s="68">
        <v>2144</v>
      </c>
      <c r="J195" s="1"/>
      <c r="K195" s="1"/>
      <c r="L195" s="1"/>
      <c r="M195" s="1"/>
      <c r="N195" s="1"/>
      <c r="O195" s="73" t="s">
        <v>262</v>
      </c>
      <c r="P195" s="74" t="s">
        <v>263</v>
      </c>
      <c r="Q195" s="19" t="s">
        <v>264</v>
      </c>
    </row>
    <row r="196" spans="2:17" ht="25" customHeight="1">
      <c r="B196" s="1"/>
      <c r="C196" s="1" t="s">
        <v>302</v>
      </c>
      <c r="D196" s="1" t="s">
        <v>206</v>
      </c>
      <c r="E196" s="68">
        <v>4791</v>
      </c>
      <c r="F196" s="68">
        <v>5081</v>
      </c>
      <c r="G196" s="68">
        <v>5000</v>
      </c>
      <c r="H196" s="68">
        <v>4828</v>
      </c>
      <c r="I196" s="68">
        <v>4796</v>
      </c>
      <c r="J196" s="1"/>
      <c r="K196" s="1"/>
      <c r="L196" s="1"/>
      <c r="M196" s="1"/>
      <c r="N196" s="1"/>
      <c r="O196" s="73" t="s">
        <v>262</v>
      </c>
      <c r="P196" s="74" t="s">
        <v>263</v>
      </c>
      <c r="Q196" s="19" t="s">
        <v>264</v>
      </c>
    </row>
    <row r="197" spans="2:17" ht="25" customHeight="1">
      <c r="B197" s="1"/>
      <c r="C197" s="1" t="s">
        <v>303</v>
      </c>
      <c r="D197" s="1" t="s">
        <v>206</v>
      </c>
      <c r="E197" s="68">
        <v>2926</v>
      </c>
      <c r="F197" s="68">
        <v>2923</v>
      </c>
      <c r="G197" s="68">
        <v>2718</v>
      </c>
      <c r="H197" s="68">
        <v>2712</v>
      </c>
      <c r="I197" s="68">
        <v>2838</v>
      </c>
      <c r="J197" s="1"/>
      <c r="K197" s="1"/>
      <c r="L197" s="1"/>
      <c r="M197" s="1"/>
      <c r="N197" s="1"/>
      <c r="O197" s="73" t="s">
        <v>262</v>
      </c>
      <c r="P197" s="74" t="s">
        <v>263</v>
      </c>
      <c r="Q197" s="19" t="s">
        <v>264</v>
      </c>
    </row>
    <row r="198" spans="2:17" ht="25" customHeight="1">
      <c r="B198" s="1"/>
      <c r="C198" s="1" t="s">
        <v>304</v>
      </c>
      <c r="D198" s="1" t="s">
        <v>206</v>
      </c>
      <c r="E198" s="68">
        <v>286</v>
      </c>
      <c r="F198" s="68">
        <v>274</v>
      </c>
      <c r="G198" s="68">
        <v>259</v>
      </c>
      <c r="H198" s="68">
        <v>259</v>
      </c>
      <c r="I198" s="68">
        <v>259</v>
      </c>
      <c r="J198" s="1"/>
      <c r="K198" s="1"/>
      <c r="L198" s="1"/>
      <c r="M198" s="1"/>
      <c r="N198" s="1"/>
      <c r="O198" s="73" t="s">
        <v>262</v>
      </c>
      <c r="P198" s="74" t="s">
        <v>263</v>
      </c>
      <c r="Q198" s="19" t="s">
        <v>264</v>
      </c>
    </row>
    <row r="199" spans="2:17" ht="25" customHeight="1">
      <c r="B199" s="1"/>
      <c r="C199" s="1" t="s">
        <v>305</v>
      </c>
      <c r="D199" s="1" t="s">
        <v>206</v>
      </c>
      <c r="E199" s="68">
        <v>284</v>
      </c>
      <c r="F199" s="68">
        <v>281</v>
      </c>
      <c r="G199" s="68">
        <v>240</v>
      </c>
      <c r="H199" s="68">
        <v>240</v>
      </c>
      <c r="I199" s="68">
        <v>240</v>
      </c>
      <c r="J199" s="1"/>
      <c r="K199" s="1"/>
      <c r="L199" s="1"/>
      <c r="M199" s="1"/>
      <c r="N199" s="1"/>
      <c r="O199" s="73" t="s">
        <v>262</v>
      </c>
      <c r="P199" s="74" t="s">
        <v>263</v>
      </c>
      <c r="Q199" s="19" t="s">
        <v>264</v>
      </c>
    </row>
    <row r="200" spans="2:17" ht="25" customHeight="1">
      <c r="B200" s="1"/>
      <c r="C200" s="1" t="s">
        <v>306</v>
      </c>
      <c r="D200" s="1" t="s">
        <v>206</v>
      </c>
      <c r="E200" s="68">
        <v>3821</v>
      </c>
      <c r="F200" s="68">
        <v>3770</v>
      </c>
      <c r="G200" s="68">
        <v>4511</v>
      </c>
      <c r="H200" s="68">
        <v>5178</v>
      </c>
      <c r="I200" s="68">
        <v>5674</v>
      </c>
      <c r="J200" s="1"/>
      <c r="K200" s="1"/>
      <c r="L200" s="1"/>
      <c r="M200" s="1"/>
      <c r="N200" s="1"/>
      <c r="O200" s="73" t="s">
        <v>262</v>
      </c>
      <c r="P200" s="74" t="s">
        <v>263</v>
      </c>
      <c r="Q200" s="19" t="s">
        <v>264</v>
      </c>
    </row>
    <row r="201" spans="2:17" ht="25" customHeight="1">
      <c r="B201" s="1"/>
      <c r="C201" s="1" t="s">
        <v>307</v>
      </c>
      <c r="D201" s="1" t="s">
        <v>206</v>
      </c>
      <c r="E201" s="68">
        <v>40321</v>
      </c>
      <c r="F201" s="68">
        <v>37531</v>
      </c>
      <c r="G201" s="68">
        <v>38110</v>
      </c>
      <c r="H201" s="68">
        <v>36579</v>
      </c>
      <c r="I201" s="68">
        <v>38410</v>
      </c>
      <c r="J201" s="1"/>
      <c r="K201" s="1"/>
      <c r="L201" s="1"/>
      <c r="M201" s="1"/>
      <c r="N201" s="1"/>
      <c r="O201" s="73" t="s">
        <v>262</v>
      </c>
      <c r="P201" s="74" t="s">
        <v>263</v>
      </c>
      <c r="Q201" s="19" t="s">
        <v>264</v>
      </c>
    </row>
    <row r="202" spans="2:17" ht="25" customHeight="1">
      <c r="B202" s="1"/>
      <c r="C202" s="1" t="s">
        <v>308</v>
      </c>
      <c r="D202" s="1" t="s">
        <v>206</v>
      </c>
      <c r="E202" s="68">
        <v>510</v>
      </c>
      <c r="F202" s="68">
        <v>6</v>
      </c>
      <c r="G202" s="68">
        <v>1006</v>
      </c>
      <c r="H202" s="68">
        <v>0</v>
      </c>
      <c r="I202" s="68">
        <v>2000</v>
      </c>
      <c r="J202" s="1"/>
      <c r="K202" s="1"/>
      <c r="L202" s="1"/>
      <c r="M202" s="1"/>
      <c r="N202" s="1"/>
      <c r="O202" s="73" t="s">
        <v>309</v>
      </c>
      <c r="P202" s="74" t="s">
        <v>263</v>
      </c>
      <c r="Q202" s="19" t="s">
        <v>310</v>
      </c>
    </row>
    <row r="203" spans="2:17" ht="25" customHeight="1">
      <c r="B203" s="1"/>
      <c r="C203" s="1" t="s">
        <v>311</v>
      </c>
      <c r="D203" s="1" t="s">
        <v>206</v>
      </c>
      <c r="E203" s="68">
        <v>3358</v>
      </c>
      <c r="F203" s="68">
        <v>2862</v>
      </c>
      <c r="G203" s="68">
        <v>2851</v>
      </c>
      <c r="H203" s="68">
        <v>3479</v>
      </c>
      <c r="I203" s="68">
        <v>3600</v>
      </c>
      <c r="J203" s="1"/>
      <c r="K203" s="1"/>
      <c r="L203" s="1"/>
      <c r="M203" s="1"/>
      <c r="N203" s="1"/>
      <c r="O203" s="73" t="s">
        <v>262</v>
      </c>
      <c r="P203" s="74" t="s">
        <v>263</v>
      </c>
      <c r="Q203" s="19" t="s">
        <v>264</v>
      </c>
    </row>
    <row r="204" spans="2:17" ht="25" customHeight="1">
      <c r="B204" s="1"/>
      <c r="C204" s="1" t="s">
        <v>312</v>
      </c>
      <c r="D204" s="1" t="s">
        <v>206</v>
      </c>
      <c r="E204" s="68">
        <v>420</v>
      </c>
      <c r="F204" s="68">
        <v>425</v>
      </c>
      <c r="G204" s="68">
        <v>477</v>
      </c>
      <c r="H204" s="68">
        <v>502</v>
      </c>
      <c r="I204" s="68">
        <v>478</v>
      </c>
      <c r="J204" s="1"/>
      <c r="K204" s="1"/>
      <c r="L204" s="1"/>
      <c r="M204" s="1"/>
      <c r="N204" s="1"/>
      <c r="O204" s="73" t="s">
        <v>262</v>
      </c>
      <c r="P204" s="74" t="s">
        <v>263</v>
      </c>
      <c r="Q204" s="19" t="s">
        <v>264</v>
      </c>
    </row>
    <row r="205" spans="2:17" ht="25" customHeight="1">
      <c r="B205" s="1"/>
      <c r="C205" s="1" t="s">
        <v>313</v>
      </c>
      <c r="D205" s="1" t="s">
        <v>206</v>
      </c>
      <c r="E205" s="68">
        <v>6220</v>
      </c>
      <c r="F205" s="68">
        <v>5723</v>
      </c>
      <c r="G205" s="68">
        <v>5725</v>
      </c>
      <c r="H205" s="68">
        <v>5916</v>
      </c>
      <c r="I205" s="68">
        <v>6092</v>
      </c>
      <c r="J205" s="1"/>
      <c r="K205" s="1"/>
      <c r="L205" s="1"/>
      <c r="M205" s="1"/>
      <c r="N205" s="1"/>
      <c r="O205" s="73" t="s">
        <v>262</v>
      </c>
      <c r="P205" s="74" t="s">
        <v>263</v>
      </c>
      <c r="Q205" s="19" t="s">
        <v>264</v>
      </c>
    </row>
    <row r="206" spans="2:17" ht="25" customHeight="1">
      <c r="B206" s="1"/>
      <c r="C206" s="1" t="s">
        <v>314</v>
      </c>
      <c r="D206" s="1" t="s">
        <v>206</v>
      </c>
      <c r="E206" s="68">
        <v>222</v>
      </c>
      <c r="F206" s="68">
        <v>240</v>
      </c>
      <c r="G206" s="68">
        <v>534</v>
      </c>
      <c r="H206" s="68">
        <v>669</v>
      </c>
      <c r="I206" s="68">
        <v>377</v>
      </c>
      <c r="J206" s="1"/>
      <c r="K206" s="1"/>
      <c r="L206" s="1"/>
      <c r="M206" s="1"/>
      <c r="N206" s="1"/>
      <c r="O206" s="73" t="s">
        <v>262</v>
      </c>
      <c r="P206" s="74" t="s">
        <v>263</v>
      </c>
      <c r="Q206" s="19" t="s">
        <v>264</v>
      </c>
    </row>
    <row r="207" spans="2:17" ht="25" customHeight="1">
      <c r="B207" s="1"/>
      <c r="C207" s="1" t="s">
        <v>315</v>
      </c>
      <c r="D207" s="1" t="s">
        <v>206</v>
      </c>
      <c r="E207" s="68">
        <v>8920</v>
      </c>
      <c r="F207" s="68">
        <v>8927</v>
      </c>
      <c r="G207" s="68">
        <v>7903</v>
      </c>
      <c r="H207" s="68">
        <v>7961</v>
      </c>
      <c r="I207" s="68">
        <v>5942</v>
      </c>
      <c r="J207" s="1"/>
      <c r="K207" s="1"/>
      <c r="L207" s="1"/>
      <c r="M207" s="1"/>
      <c r="N207" s="1"/>
      <c r="O207" s="73" t="s">
        <v>262</v>
      </c>
      <c r="P207" s="74" t="s">
        <v>263</v>
      </c>
      <c r="Q207" s="19" t="s">
        <v>264</v>
      </c>
    </row>
    <row r="208" spans="2:17" ht="25" customHeight="1">
      <c r="B208" s="1"/>
      <c r="C208" s="1" t="s">
        <v>316</v>
      </c>
      <c r="D208" s="1" t="s">
        <v>206</v>
      </c>
      <c r="E208" s="68">
        <v>2777</v>
      </c>
      <c r="F208" s="68">
        <v>2786</v>
      </c>
      <c r="G208" s="68">
        <v>2566</v>
      </c>
      <c r="H208" s="68">
        <v>2550</v>
      </c>
      <c r="I208" s="68">
        <v>2613</v>
      </c>
      <c r="J208" s="1"/>
      <c r="K208" s="1"/>
      <c r="L208" s="1"/>
      <c r="M208" s="1"/>
      <c r="N208" s="1"/>
      <c r="O208" s="73" t="s">
        <v>262</v>
      </c>
      <c r="P208" s="74" t="s">
        <v>263</v>
      </c>
      <c r="Q208" s="19" t="s">
        <v>264</v>
      </c>
    </row>
    <row r="209" spans="2:17" ht="25" customHeight="1">
      <c r="B209" s="1"/>
      <c r="C209" s="1" t="s">
        <v>317</v>
      </c>
      <c r="D209" s="1" t="s">
        <v>206</v>
      </c>
      <c r="E209" s="68">
        <v>2613</v>
      </c>
      <c r="F209" s="68">
        <v>2558</v>
      </c>
      <c r="G209" s="68">
        <v>2618</v>
      </c>
      <c r="H209" s="68">
        <v>2289</v>
      </c>
      <c r="I209" s="68">
        <v>2443</v>
      </c>
      <c r="J209" s="1"/>
      <c r="K209" s="1"/>
      <c r="L209" s="1"/>
      <c r="M209" s="1"/>
      <c r="N209" s="1"/>
      <c r="O209" s="73" t="s">
        <v>262</v>
      </c>
      <c r="P209" s="74" t="s">
        <v>263</v>
      </c>
      <c r="Q209" s="19" t="s">
        <v>264</v>
      </c>
    </row>
    <row r="210" spans="2:17" ht="25" customHeight="1">
      <c r="B210" s="1"/>
      <c r="C210" s="1" t="s">
        <v>318</v>
      </c>
      <c r="D210" s="1" t="s">
        <v>206</v>
      </c>
      <c r="E210" s="68">
        <v>3</v>
      </c>
      <c r="F210" s="68">
        <v>3</v>
      </c>
      <c r="G210" s="68">
        <v>3</v>
      </c>
      <c r="H210" s="68">
        <v>3</v>
      </c>
      <c r="I210" s="68">
        <v>3</v>
      </c>
      <c r="J210" s="1"/>
      <c r="K210" s="1"/>
      <c r="L210" s="1"/>
      <c r="M210" s="1"/>
      <c r="N210" s="1"/>
      <c r="O210" s="73" t="s">
        <v>262</v>
      </c>
      <c r="P210" s="74" t="s">
        <v>263</v>
      </c>
      <c r="Q210" s="19" t="s">
        <v>264</v>
      </c>
    </row>
    <row r="211" spans="2:17" ht="25" customHeight="1">
      <c r="B211" s="1"/>
      <c r="C211" s="1" t="s">
        <v>319</v>
      </c>
      <c r="D211" s="1" t="s">
        <v>206</v>
      </c>
      <c r="E211" s="68">
        <v>11484</v>
      </c>
      <c r="F211" s="68">
        <v>12412</v>
      </c>
      <c r="G211" s="68">
        <v>13409</v>
      </c>
      <c r="H211" s="68">
        <v>14195</v>
      </c>
      <c r="I211" s="68">
        <v>15158</v>
      </c>
      <c r="J211" s="1"/>
      <c r="K211" s="1"/>
      <c r="L211" s="1"/>
      <c r="M211" s="1"/>
      <c r="N211" s="1"/>
      <c r="O211" s="73" t="s">
        <v>262</v>
      </c>
      <c r="P211" s="74" t="s">
        <v>263</v>
      </c>
      <c r="Q211" s="19" t="s">
        <v>264</v>
      </c>
    </row>
    <row r="212" spans="2:17" ht="25" customHeight="1">
      <c r="B212" s="1"/>
      <c r="C212" s="1" t="s">
        <v>320</v>
      </c>
      <c r="D212" s="1" t="s">
        <v>206</v>
      </c>
      <c r="E212" s="68">
        <v>318</v>
      </c>
      <c r="F212" s="68">
        <v>231</v>
      </c>
      <c r="G212" s="68">
        <v>53</v>
      </c>
      <c r="H212" s="68">
        <v>-258</v>
      </c>
      <c r="I212" s="68">
        <v>-141</v>
      </c>
      <c r="J212" s="1"/>
      <c r="K212" s="1"/>
      <c r="L212" s="1"/>
      <c r="M212" s="1"/>
      <c r="N212" s="1"/>
      <c r="O212" s="73" t="s">
        <v>262</v>
      </c>
      <c r="P212" s="74" t="s">
        <v>263</v>
      </c>
      <c r="Q212" s="19" t="s">
        <v>264</v>
      </c>
    </row>
    <row r="213" spans="2:17" ht="25" customHeight="1">
      <c r="B213" s="1"/>
      <c r="C213" s="1" t="s">
        <v>321</v>
      </c>
      <c r="D213" s="1" t="s">
        <v>206</v>
      </c>
      <c r="E213" s="68">
        <v>3476</v>
      </c>
      <c r="F213" s="68">
        <v>1358</v>
      </c>
      <c r="G213" s="68">
        <v>965</v>
      </c>
      <c r="H213" s="68">
        <v>-727</v>
      </c>
      <c r="I213" s="68">
        <v>-155</v>
      </c>
      <c r="J213" s="1"/>
      <c r="K213" s="1"/>
      <c r="L213" s="1"/>
      <c r="M213" s="1"/>
      <c r="N213" s="1"/>
      <c r="O213" s="73" t="s">
        <v>262</v>
      </c>
      <c r="P213" s="74" t="s">
        <v>263</v>
      </c>
      <c r="Q213" s="19" t="s">
        <v>264</v>
      </c>
    </row>
    <row r="214" spans="2:17" ht="25" customHeight="1">
      <c r="B214" s="1"/>
      <c r="C214" s="1" t="s">
        <v>322</v>
      </c>
      <c r="D214" s="1" t="s">
        <v>206</v>
      </c>
      <c r="E214" s="68">
        <v>15281</v>
      </c>
      <c r="F214" s="68">
        <v>14004</v>
      </c>
      <c r="G214" s="68">
        <v>14430</v>
      </c>
      <c r="H214" s="68">
        <v>13213</v>
      </c>
      <c r="I214" s="68">
        <v>14865</v>
      </c>
      <c r="J214" s="1"/>
      <c r="K214" s="1"/>
      <c r="L214" s="1"/>
      <c r="M214" s="1"/>
      <c r="N214" s="1"/>
      <c r="O214" s="73" t="s">
        <v>262</v>
      </c>
      <c r="P214" s="74" t="s">
        <v>263</v>
      </c>
      <c r="Q214" s="19" t="s">
        <v>264</v>
      </c>
    </row>
    <row r="215" spans="2:17" ht="25" customHeight="1">
      <c r="B215" s="1"/>
      <c r="C215" s="1" t="s">
        <v>323</v>
      </c>
      <c r="D215" s="1" t="s">
        <v>206</v>
      </c>
      <c r="E215" s="68">
        <v>40321</v>
      </c>
      <c r="F215" s="68">
        <v>37531</v>
      </c>
      <c r="G215" s="68">
        <v>38110</v>
      </c>
      <c r="H215" s="68">
        <v>36579</v>
      </c>
      <c r="I215" s="68">
        <v>38410</v>
      </c>
      <c r="J215" s="1"/>
      <c r="K215" s="1"/>
      <c r="L215" s="1"/>
      <c r="M215" s="1"/>
      <c r="N215" s="1"/>
      <c r="O215" s="75" t="s">
        <v>262</v>
      </c>
      <c r="P215" s="76" t="s">
        <v>263</v>
      </c>
      <c r="Q215" s="23" t="s">
        <v>264</v>
      </c>
    </row>
    <row r="216" spans="2:17">
      <c r="B216" s="1"/>
      <c r="C216" s="1"/>
      <c r="D216" s="1"/>
      <c r="E216" s="1"/>
      <c r="F216" s="1"/>
      <c r="G216" s="1"/>
      <c r="H216" s="1"/>
      <c r="I216" s="1"/>
      <c r="J216" s="1"/>
      <c r="K216" s="1"/>
      <c r="L216" s="1"/>
      <c r="M216" s="1"/>
      <c r="N216" s="1"/>
      <c r="O216" s="1"/>
      <c r="P216" s="1"/>
      <c r="Q216" s="1"/>
    </row>
    <row r="217" spans="2:17">
      <c r="B217" s="1"/>
      <c r="C217" s="1"/>
      <c r="D217" s="1"/>
      <c r="E217" s="1"/>
      <c r="F217" s="1"/>
      <c r="G217" s="1"/>
      <c r="H217" s="1"/>
      <c r="I217" s="1"/>
      <c r="J217" s="1"/>
      <c r="K217" s="1"/>
      <c r="L217" s="1"/>
      <c r="M217" s="1"/>
      <c r="N217" s="1"/>
      <c r="O217" s="1"/>
      <c r="P217" s="1"/>
      <c r="Q217" s="1"/>
    </row>
    <row r="218" spans="2:17">
      <c r="B218" s="1"/>
      <c r="C218" s="1"/>
      <c r="D218" s="1"/>
      <c r="E218" s="1"/>
      <c r="F218" s="1"/>
      <c r="G218" s="1"/>
      <c r="H218" s="1"/>
      <c r="I218" s="1"/>
      <c r="J218" s="1"/>
      <c r="K218" s="1"/>
      <c r="L218" s="1"/>
      <c r="M218" s="1"/>
      <c r="N218" s="1"/>
      <c r="O218" s="1"/>
      <c r="P218" s="1"/>
      <c r="Q218" s="1"/>
    </row>
    <row r="219" spans="2:17" ht="21" customHeight="1">
      <c r="B219" s="177" t="s">
        <v>324</v>
      </c>
      <c r="C219" s="177"/>
      <c r="D219" s="177"/>
      <c r="E219" s="177"/>
      <c r="F219" s="177"/>
      <c r="G219" s="177"/>
      <c r="H219" s="177"/>
      <c r="I219" s="177"/>
      <c r="J219" s="177"/>
      <c r="K219" s="177"/>
      <c r="L219" s="177"/>
      <c r="M219" s="177"/>
      <c r="N219" s="177"/>
      <c r="O219" s="177"/>
      <c r="P219" s="177"/>
      <c r="Q219" s="177"/>
    </row>
    <row r="220" spans="2:17">
      <c r="B220" s="1"/>
      <c r="C220" s="1"/>
      <c r="D220" s="1"/>
      <c r="E220" s="1"/>
      <c r="F220" s="1"/>
      <c r="G220" s="1"/>
      <c r="H220" s="1"/>
      <c r="I220" s="1"/>
      <c r="J220" s="1"/>
      <c r="K220" s="1"/>
      <c r="L220" s="1"/>
      <c r="M220" s="1"/>
      <c r="N220" s="1"/>
      <c r="O220" s="1"/>
      <c r="P220" s="1"/>
      <c r="Q220" s="1"/>
    </row>
    <row r="221" spans="2:17">
      <c r="B221" s="1"/>
      <c r="C221" s="82" t="s">
        <v>4</v>
      </c>
      <c r="D221" s="82" t="s">
        <v>325</v>
      </c>
      <c r="E221" s="82" t="s">
        <v>326</v>
      </c>
      <c r="F221" s="82" t="s">
        <v>327</v>
      </c>
      <c r="G221" s="82" t="s">
        <v>328</v>
      </c>
      <c r="H221" s="82" t="s">
        <v>329</v>
      </c>
      <c r="I221" s="82" t="s">
        <v>330</v>
      </c>
      <c r="J221" s="82" t="s">
        <v>331</v>
      </c>
      <c r="K221" s="82" t="s">
        <v>332</v>
      </c>
      <c r="L221" s="82"/>
      <c r="M221" s="82"/>
      <c r="N221" s="82"/>
      <c r="O221" s="82"/>
      <c r="P221" s="82"/>
      <c r="Q221" s="82"/>
    </row>
    <row r="222" spans="2:17" ht="39">
      <c r="B222" s="1"/>
      <c r="C222" s="84" t="s">
        <v>333</v>
      </c>
      <c r="D222" s="85" t="s">
        <v>334</v>
      </c>
      <c r="E222" s="85" t="s">
        <v>335</v>
      </c>
      <c r="F222" s="86">
        <v>40.76</v>
      </c>
      <c r="G222" s="86">
        <v>60390</v>
      </c>
      <c r="H222" s="87">
        <v>26.99</v>
      </c>
      <c r="I222" s="85" t="s">
        <v>336</v>
      </c>
      <c r="J222" s="88" t="s">
        <v>337</v>
      </c>
      <c r="K222" s="249" t="s">
        <v>338</v>
      </c>
      <c r="L222" s="249"/>
      <c r="M222" s="249"/>
      <c r="N222" s="249"/>
      <c r="O222" s="249"/>
      <c r="P222" s="249"/>
      <c r="Q222" s="250"/>
    </row>
    <row r="223" spans="2:17" ht="39">
      <c r="B223" s="1"/>
      <c r="C223" s="89" t="s">
        <v>339</v>
      </c>
      <c r="D223" s="90" t="s">
        <v>340</v>
      </c>
      <c r="E223" s="90" t="s">
        <v>341</v>
      </c>
      <c r="F223" s="91">
        <v>90.16</v>
      </c>
      <c r="G223" s="91">
        <v>30900</v>
      </c>
      <c r="H223" s="92">
        <v>19.5</v>
      </c>
      <c r="I223" s="90" t="s">
        <v>336</v>
      </c>
      <c r="J223" s="93" t="s">
        <v>342</v>
      </c>
      <c r="K223" s="251" t="s">
        <v>343</v>
      </c>
      <c r="L223" s="251"/>
      <c r="M223" s="251"/>
      <c r="N223" s="251"/>
      <c r="O223" s="251"/>
      <c r="P223" s="251"/>
      <c r="Q223" s="252"/>
    </row>
    <row r="224" spans="2:17" ht="52">
      <c r="B224" s="1"/>
      <c r="C224" s="89" t="s">
        <v>344</v>
      </c>
      <c r="D224" s="90" t="s">
        <v>345</v>
      </c>
      <c r="E224" s="90" t="s">
        <v>341</v>
      </c>
      <c r="F224" s="91">
        <v>2.93</v>
      </c>
      <c r="G224" s="91">
        <v>4310</v>
      </c>
      <c r="H224" s="92" t="s">
        <v>346</v>
      </c>
      <c r="I224" s="90" t="s">
        <v>347</v>
      </c>
      <c r="J224" s="93" t="s">
        <v>348</v>
      </c>
      <c r="K224" s="251" t="s">
        <v>349</v>
      </c>
      <c r="L224" s="251"/>
      <c r="M224" s="251"/>
      <c r="N224" s="251"/>
      <c r="O224" s="251"/>
      <c r="P224" s="251"/>
      <c r="Q224" s="252"/>
    </row>
    <row r="225" spans="2:17" ht="39">
      <c r="B225" s="1"/>
      <c r="C225" s="89" t="s">
        <v>350</v>
      </c>
      <c r="D225" s="90" t="s">
        <v>351</v>
      </c>
      <c r="E225" s="90" t="s">
        <v>352</v>
      </c>
      <c r="F225" s="91">
        <v>121.07</v>
      </c>
      <c r="G225" s="91">
        <v>13981</v>
      </c>
      <c r="H225" s="92">
        <v>9.8000000000000007</v>
      </c>
      <c r="I225" s="90" t="s">
        <v>336</v>
      </c>
      <c r="J225" s="93" t="s">
        <v>353</v>
      </c>
      <c r="K225" s="251" t="s">
        <v>354</v>
      </c>
      <c r="L225" s="251"/>
      <c r="M225" s="251"/>
      <c r="N225" s="251"/>
      <c r="O225" s="251"/>
      <c r="P225" s="251"/>
      <c r="Q225" s="252"/>
    </row>
    <row r="226" spans="2:17" ht="39">
      <c r="B226" s="1"/>
      <c r="C226" s="89" t="s">
        <v>355</v>
      </c>
      <c r="D226" s="90" t="s">
        <v>356</v>
      </c>
      <c r="E226" s="90" t="s">
        <v>341</v>
      </c>
      <c r="F226" s="91">
        <v>91.68</v>
      </c>
      <c r="G226" s="91">
        <v>12703</v>
      </c>
      <c r="H226" s="92">
        <v>12.49</v>
      </c>
      <c r="I226" s="90" t="s">
        <v>336</v>
      </c>
      <c r="J226" s="93" t="s">
        <v>357</v>
      </c>
      <c r="K226" s="251" t="s">
        <v>358</v>
      </c>
      <c r="L226" s="251"/>
      <c r="M226" s="251"/>
      <c r="N226" s="251"/>
      <c r="O226" s="251"/>
      <c r="P226" s="251"/>
      <c r="Q226" s="252"/>
    </row>
    <row r="227" spans="2:17" ht="39">
      <c r="B227" s="1"/>
      <c r="C227" s="89" t="s">
        <v>359</v>
      </c>
      <c r="D227" s="90" t="s">
        <v>360</v>
      </c>
      <c r="E227" s="90" t="s">
        <v>341</v>
      </c>
      <c r="F227" s="91">
        <v>30.02</v>
      </c>
      <c r="G227" s="91">
        <v>9585</v>
      </c>
      <c r="H227" s="92" t="s">
        <v>346</v>
      </c>
      <c r="I227" s="90" t="s">
        <v>361</v>
      </c>
      <c r="J227" s="93" t="s">
        <v>362</v>
      </c>
      <c r="K227" s="251" t="s">
        <v>363</v>
      </c>
      <c r="L227" s="251"/>
      <c r="M227" s="251"/>
      <c r="N227" s="251"/>
      <c r="O227" s="251"/>
      <c r="P227" s="251"/>
      <c r="Q227" s="252"/>
    </row>
    <row r="228" spans="2:17" ht="39">
      <c r="B228" s="1"/>
      <c r="C228" s="89" t="s">
        <v>364</v>
      </c>
      <c r="D228" s="90" t="s">
        <v>365</v>
      </c>
      <c r="E228" s="90" t="s">
        <v>352</v>
      </c>
      <c r="F228" s="91">
        <v>122.11</v>
      </c>
      <c r="G228" s="91">
        <v>6060</v>
      </c>
      <c r="H228" s="92">
        <v>10.78</v>
      </c>
      <c r="I228" s="90" t="s">
        <v>336</v>
      </c>
      <c r="J228" s="93" t="s">
        <v>366</v>
      </c>
      <c r="K228" s="251" t="s">
        <v>367</v>
      </c>
      <c r="L228" s="251"/>
      <c r="M228" s="251"/>
      <c r="N228" s="251"/>
      <c r="O228" s="251"/>
      <c r="P228" s="251"/>
      <c r="Q228" s="252"/>
    </row>
    <row r="229" spans="2:17" ht="39">
      <c r="B229" s="1"/>
      <c r="C229" s="94" t="s">
        <v>368</v>
      </c>
      <c r="D229" s="95" t="s">
        <v>369</v>
      </c>
      <c r="E229" s="95" t="s">
        <v>352</v>
      </c>
      <c r="F229" s="96">
        <v>5.39</v>
      </c>
      <c r="G229" s="96">
        <v>2328</v>
      </c>
      <c r="H229" s="97" t="s">
        <v>346</v>
      </c>
      <c r="I229" s="95" t="s">
        <v>347</v>
      </c>
      <c r="J229" s="98" t="s">
        <v>370</v>
      </c>
      <c r="K229" s="253" t="s">
        <v>371</v>
      </c>
      <c r="L229" s="253"/>
      <c r="M229" s="253"/>
      <c r="N229" s="253"/>
      <c r="O229" s="253"/>
      <c r="P229" s="253"/>
      <c r="Q229" s="254"/>
    </row>
    <row r="230" spans="2:17">
      <c r="B230" s="1"/>
      <c r="C230" s="1"/>
      <c r="D230" s="1"/>
      <c r="E230" s="1"/>
      <c r="F230" s="1"/>
      <c r="G230" s="1"/>
      <c r="H230" s="1"/>
      <c r="I230" s="1"/>
      <c r="J230" s="1"/>
      <c r="K230" s="1"/>
      <c r="L230" s="1"/>
      <c r="M230" s="1"/>
      <c r="N230" s="1"/>
      <c r="O230" s="1"/>
      <c r="P230" s="1"/>
      <c r="Q230" s="1"/>
    </row>
    <row r="231" spans="2:17">
      <c r="B231" s="1"/>
      <c r="C231" s="228" t="s">
        <v>372</v>
      </c>
      <c r="D231" s="228"/>
      <c r="E231" s="228"/>
      <c r="F231" s="228"/>
      <c r="G231" s="228"/>
      <c r="H231" s="99">
        <f>MEDIAN(H223,H225,H226,H228)</f>
        <v>11.635</v>
      </c>
      <c r="I231" s="1"/>
      <c r="J231" s="1"/>
      <c r="K231" s="1"/>
      <c r="L231" s="1"/>
      <c r="M231" s="1"/>
      <c r="N231" s="1"/>
      <c r="O231" s="1"/>
      <c r="P231" s="1"/>
      <c r="Q231" s="1"/>
    </row>
    <row r="232" spans="2:17">
      <c r="B232" s="1"/>
      <c r="C232" s="228" t="s">
        <v>373</v>
      </c>
      <c r="D232" s="228"/>
      <c r="E232" s="228"/>
      <c r="F232" s="228"/>
      <c r="G232" s="228"/>
      <c r="H232" s="99">
        <f>MIN(H223,H225,H226,H228)</f>
        <v>9.8000000000000007</v>
      </c>
      <c r="I232" s="1"/>
      <c r="J232" s="1"/>
      <c r="K232" s="1"/>
      <c r="L232" s="1"/>
      <c r="M232" s="1"/>
      <c r="N232" s="1"/>
      <c r="O232" s="1"/>
      <c r="P232" s="1"/>
      <c r="Q232" s="1"/>
    </row>
    <row r="233" spans="2:17">
      <c r="B233" s="1"/>
      <c r="C233" s="228" t="s">
        <v>374</v>
      </c>
      <c r="D233" s="228"/>
      <c r="E233" s="228"/>
      <c r="F233" s="228"/>
      <c r="G233" s="228"/>
      <c r="H233" s="99">
        <f>MAX(H223,H225,H226,H228)</f>
        <v>19.5</v>
      </c>
      <c r="I233" s="1"/>
      <c r="J233" s="1"/>
      <c r="K233" s="1"/>
      <c r="L233" s="1"/>
      <c r="M233" s="1"/>
      <c r="N233" s="1"/>
      <c r="O233" s="1"/>
      <c r="P233" s="1"/>
      <c r="Q233" s="1"/>
    </row>
    <row r="234" spans="2:17">
      <c r="B234" s="1"/>
      <c r="C234" s="1"/>
      <c r="D234" s="1"/>
      <c r="E234" s="1"/>
      <c r="F234" s="1"/>
      <c r="G234" s="1"/>
      <c r="H234" s="1"/>
      <c r="I234" s="1"/>
      <c r="J234" s="1"/>
      <c r="K234" s="1"/>
      <c r="L234" s="1"/>
      <c r="M234" s="1"/>
      <c r="N234" s="1"/>
      <c r="O234" s="1"/>
      <c r="P234" s="1"/>
      <c r="Q234" s="1"/>
    </row>
    <row r="235" spans="2:17">
      <c r="B235" s="1"/>
      <c r="C235" s="1"/>
      <c r="D235" s="1"/>
      <c r="E235" s="1"/>
      <c r="F235" s="1"/>
      <c r="G235" s="1"/>
      <c r="H235" s="1"/>
      <c r="I235" s="1"/>
      <c r="J235" s="1"/>
      <c r="K235" s="1"/>
      <c r="L235" s="1"/>
      <c r="M235" s="1"/>
      <c r="N235" s="1"/>
      <c r="O235" s="1"/>
      <c r="P235" s="1"/>
      <c r="Q235" s="1"/>
    </row>
    <row r="236" spans="2:17" ht="21" customHeight="1">
      <c r="B236" s="177" t="s">
        <v>375</v>
      </c>
      <c r="C236" s="177"/>
      <c r="D236" s="177"/>
      <c r="E236" s="177"/>
      <c r="F236" s="177"/>
      <c r="G236" s="177"/>
      <c r="H236" s="177"/>
      <c r="I236" s="177"/>
      <c r="J236" s="177"/>
      <c r="K236" s="177"/>
      <c r="L236" s="177"/>
      <c r="M236" s="177"/>
      <c r="N236" s="177"/>
      <c r="O236" s="177"/>
      <c r="P236" s="177"/>
      <c r="Q236" s="177"/>
    </row>
    <row r="237" spans="2:17">
      <c r="B237" s="1"/>
      <c r="C237" s="1"/>
      <c r="D237" s="1"/>
      <c r="E237" s="1"/>
      <c r="F237" s="1"/>
      <c r="G237" s="1"/>
      <c r="H237" s="1"/>
      <c r="I237" s="1"/>
      <c r="J237" s="1"/>
      <c r="K237" s="1"/>
      <c r="L237" s="1"/>
      <c r="M237" s="1"/>
      <c r="N237" s="1"/>
      <c r="O237" s="1"/>
      <c r="P237" s="1"/>
      <c r="Q237" s="1"/>
    </row>
    <row r="238" spans="2:17">
      <c r="B238" s="1"/>
      <c r="C238" s="4" t="s">
        <v>260</v>
      </c>
      <c r="D238" s="4" t="s">
        <v>376</v>
      </c>
      <c r="E238" s="4" t="s">
        <v>377</v>
      </c>
      <c r="F238" s="4" t="s">
        <v>378</v>
      </c>
      <c r="G238" s="4" t="s">
        <v>379</v>
      </c>
      <c r="H238" s="4" t="s">
        <v>380</v>
      </c>
      <c r="I238" s="1"/>
      <c r="J238" s="1"/>
      <c r="K238" s="1"/>
      <c r="L238" s="1"/>
      <c r="M238" s="1"/>
      <c r="N238" s="1"/>
      <c r="O238" s="1"/>
      <c r="P238" s="1"/>
      <c r="Q238" s="1"/>
    </row>
    <row r="239" spans="2:17" ht="32" customHeight="1">
      <c r="B239" s="1"/>
      <c r="C239" s="28" t="s">
        <v>381</v>
      </c>
      <c r="D239" s="14" t="s">
        <v>382</v>
      </c>
      <c r="E239" s="14" t="s">
        <v>383</v>
      </c>
      <c r="F239" s="14" t="s">
        <v>384</v>
      </c>
      <c r="G239" s="88" t="s">
        <v>385</v>
      </c>
      <c r="H239" s="15" t="s">
        <v>386</v>
      </c>
      <c r="I239" s="1"/>
      <c r="J239" s="1"/>
      <c r="K239" s="1"/>
      <c r="L239" s="1"/>
      <c r="M239" s="1"/>
      <c r="N239" s="1"/>
      <c r="O239" s="1"/>
      <c r="P239" s="1"/>
      <c r="Q239" s="1"/>
    </row>
    <row r="240" spans="2:17" ht="32" customHeight="1">
      <c r="B240" s="1"/>
      <c r="C240" s="29" t="s">
        <v>387</v>
      </c>
      <c r="D240" s="18" t="s">
        <v>388</v>
      </c>
      <c r="E240" s="18" t="s">
        <v>389</v>
      </c>
      <c r="F240" s="18" t="s">
        <v>390</v>
      </c>
      <c r="G240" s="93" t="s">
        <v>391</v>
      </c>
      <c r="H240" s="19" t="s">
        <v>392</v>
      </c>
      <c r="I240" s="1"/>
      <c r="J240" s="1"/>
      <c r="K240" s="1"/>
      <c r="L240" s="1"/>
      <c r="M240" s="1"/>
      <c r="N240" s="1"/>
      <c r="O240" s="1"/>
      <c r="P240" s="1"/>
      <c r="Q240" s="1"/>
    </row>
    <row r="241" spans="2:17" ht="32" customHeight="1">
      <c r="B241" s="1"/>
      <c r="C241" s="29" t="s">
        <v>393</v>
      </c>
      <c r="D241" s="18" t="s">
        <v>394</v>
      </c>
      <c r="E241" s="18" t="s">
        <v>395</v>
      </c>
      <c r="F241" s="18" t="s">
        <v>396</v>
      </c>
      <c r="G241" s="93" t="s">
        <v>397</v>
      </c>
      <c r="H241" s="19" t="s">
        <v>398</v>
      </c>
      <c r="I241" s="1"/>
      <c r="J241" s="1"/>
      <c r="K241" s="1"/>
      <c r="L241" s="1"/>
      <c r="M241" s="1"/>
      <c r="N241" s="1"/>
      <c r="O241" s="1"/>
      <c r="P241" s="1"/>
      <c r="Q241" s="1"/>
    </row>
    <row r="242" spans="2:17" ht="32" customHeight="1">
      <c r="B242" s="1"/>
      <c r="C242" s="29" t="s">
        <v>399</v>
      </c>
      <c r="D242" s="18" t="s">
        <v>400</v>
      </c>
      <c r="E242" s="18" t="s">
        <v>99</v>
      </c>
      <c r="F242" s="18" t="s">
        <v>401</v>
      </c>
      <c r="G242" s="93" t="s">
        <v>402</v>
      </c>
      <c r="H242" s="19" t="s">
        <v>403</v>
      </c>
      <c r="I242" s="1"/>
      <c r="J242" s="1"/>
      <c r="K242" s="1"/>
      <c r="L242" s="1"/>
      <c r="M242" s="1"/>
      <c r="N242" s="1"/>
      <c r="O242" s="1"/>
      <c r="P242" s="1"/>
      <c r="Q242" s="1"/>
    </row>
    <row r="243" spans="2:17" ht="32" customHeight="1">
      <c r="B243" s="1"/>
      <c r="C243" s="29" t="s">
        <v>404</v>
      </c>
      <c r="D243" s="18" t="s">
        <v>405</v>
      </c>
      <c r="E243" s="18" t="s">
        <v>13</v>
      </c>
      <c r="F243" s="18" t="s">
        <v>406</v>
      </c>
      <c r="G243" s="93" t="s">
        <v>337</v>
      </c>
      <c r="H243" s="19" t="s">
        <v>407</v>
      </c>
      <c r="I243" s="1"/>
      <c r="J243" s="1"/>
      <c r="K243" s="1"/>
      <c r="L243" s="1"/>
      <c r="M243" s="1"/>
      <c r="N243" s="1"/>
      <c r="O243" s="1"/>
      <c r="P243" s="1"/>
      <c r="Q243" s="1"/>
    </row>
    <row r="244" spans="2:17" ht="32" customHeight="1">
      <c r="B244" s="1"/>
      <c r="C244" s="29" t="s">
        <v>408</v>
      </c>
      <c r="D244" s="18" t="s">
        <v>409</v>
      </c>
      <c r="E244" s="18" t="s">
        <v>190</v>
      </c>
      <c r="F244" s="18" t="s">
        <v>410</v>
      </c>
      <c r="G244" s="93" t="s">
        <v>411</v>
      </c>
      <c r="H244" s="19" t="s">
        <v>412</v>
      </c>
      <c r="I244" s="1"/>
      <c r="J244" s="1"/>
      <c r="K244" s="1"/>
      <c r="L244" s="1"/>
      <c r="M244" s="1"/>
      <c r="N244" s="1"/>
      <c r="O244" s="1"/>
      <c r="P244" s="1"/>
      <c r="Q244" s="1"/>
    </row>
    <row r="245" spans="2:17" ht="32" customHeight="1">
      <c r="B245" s="1"/>
      <c r="C245" s="29" t="s">
        <v>413</v>
      </c>
      <c r="D245" s="18" t="s">
        <v>414</v>
      </c>
      <c r="E245" s="18" t="s">
        <v>190</v>
      </c>
      <c r="F245" s="18" t="s">
        <v>415</v>
      </c>
      <c r="G245" s="93" t="s">
        <v>416</v>
      </c>
      <c r="H245" s="19" t="s">
        <v>417</v>
      </c>
      <c r="I245" s="1"/>
      <c r="J245" s="1"/>
      <c r="K245" s="1"/>
      <c r="L245" s="1"/>
      <c r="M245" s="1"/>
      <c r="N245" s="1"/>
      <c r="O245" s="1"/>
      <c r="P245" s="1"/>
      <c r="Q245" s="1"/>
    </row>
    <row r="246" spans="2:17" ht="32" customHeight="1">
      <c r="B246" s="1"/>
      <c r="C246" s="29" t="s">
        <v>418</v>
      </c>
      <c r="D246" s="18" t="s">
        <v>419</v>
      </c>
      <c r="E246" s="18" t="s">
        <v>420</v>
      </c>
      <c r="F246" s="18" t="s">
        <v>384</v>
      </c>
      <c r="G246" s="93" t="s">
        <v>385</v>
      </c>
      <c r="H246" s="19" t="s">
        <v>421</v>
      </c>
      <c r="I246" s="1"/>
      <c r="J246" s="1"/>
      <c r="K246" s="1"/>
      <c r="L246" s="1"/>
      <c r="M246" s="1"/>
      <c r="N246" s="1"/>
      <c r="O246" s="1"/>
      <c r="P246" s="1"/>
      <c r="Q246" s="1"/>
    </row>
    <row r="247" spans="2:17" ht="32" customHeight="1">
      <c r="B247" s="1"/>
      <c r="C247" s="29" t="s">
        <v>422</v>
      </c>
      <c r="D247" s="18" t="s">
        <v>423</v>
      </c>
      <c r="E247" s="18" t="s">
        <v>13</v>
      </c>
      <c r="F247" s="18" t="s">
        <v>424</v>
      </c>
      <c r="G247" s="93" t="s">
        <v>425</v>
      </c>
      <c r="H247" s="19" t="s">
        <v>426</v>
      </c>
      <c r="I247" s="1"/>
      <c r="J247" s="1"/>
      <c r="K247" s="1"/>
      <c r="L247" s="1"/>
      <c r="M247" s="1"/>
      <c r="N247" s="1"/>
      <c r="O247" s="1"/>
      <c r="P247" s="1"/>
      <c r="Q247" s="1"/>
    </row>
    <row r="248" spans="2:17" ht="32" customHeight="1">
      <c r="B248" s="1"/>
      <c r="C248" s="29" t="s">
        <v>427</v>
      </c>
      <c r="D248" s="18" t="s">
        <v>428</v>
      </c>
      <c r="E248" s="18" t="s">
        <v>13</v>
      </c>
      <c r="F248" s="18" t="s">
        <v>429</v>
      </c>
      <c r="G248" s="93" t="s">
        <v>430</v>
      </c>
      <c r="H248" s="19" t="s">
        <v>431</v>
      </c>
      <c r="I248" s="1"/>
      <c r="J248" s="1"/>
      <c r="K248" s="1"/>
      <c r="L248" s="1"/>
      <c r="M248" s="1"/>
      <c r="N248" s="1"/>
      <c r="O248" s="1"/>
      <c r="P248" s="1"/>
      <c r="Q248" s="1"/>
    </row>
    <row r="249" spans="2:17" ht="32" customHeight="1">
      <c r="B249" s="1"/>
      <c r="C249" s="29" t="s">
        <v>432</v>
      </c>
      <c r="D249" s="18" t="s">
        <v>433</v>
      </c>
      <c r="E249" s="18" t="s">
        <v>434</v>
      </c>
      <c r="F249" s="18" t="s">
        <v>435</v>
      </c>
      <c r="G249" s="93" t="s">
        <v>436</v>
      </c>
      <c r="H249" s="19" t="s">
        <v>437</v>
      </c>
      <c r="I249" s="1"/>
      <c r="J249" s="1"/>
      <c r="K249" s="1"/>
      <c r="L249" s="1"/>
      <c r="M249" s="1"/>
      <c r="N249" s="1"/>
      <c r="O249" s="1"/>
      <c r="P249" s="1"/>
      <c r="Q249" s="1"/>
    </row>
    <row r="250" spans="2:17" ht="32" customHeight="1">
      <c r="B250" s="1"/>
      <c r="C250" s="29" t="s">
        <v>438</v>
      </c>
      <c r="D250" s="18" t="s">
        <v>439</v>
      </c>
      <c r="E250" s="18" t="s">
        <v>440</v>
      </c>
      <c r="F250" s="18" t="s">
        <v>441</v>
      </c>
      <c r="G250" s="93" t="s">
        <v>442</v>
      </c>
      <c r="H250" s="19" t="s">
        <v>443</v>
      </c>
      <c r="I250" s="1"/>
      <c r="J250" s="1"/>
      <c r="K250" s="1"/>
      <c r="L250" s="1"/>
      <c r="M250" s="1"/>
      <c r="N250" s="1"/>
      <c r="O250" s="1"/>
      <c r="P250" s="1"/>
      <c r="Q250" s="1"/>
    </row>
    <row r="251" spans="2:17" ht="32" customHeight="1">
      <c r="B251" s="1"/>
      <c r="C251" s="29" t="s">
        <v>444</v>
      </c>
      <c r="D251" s="18" t="s">
        <v>445</v>
      </c>
      <c r="E251" s="18" t="s">
        <v>446</v>
      </c>
      <c r="F251" s="18" t="s">
        <v>447</v>
      </c>
      <c r="G251" s="93" t="s">
        <v>448</v>
      </c>
      <c r="H251" s="19" t="s">
        <v>449</v>
      </c>
      <c r="I251" s="1"/>
      <c r="J251" s="1"/>
      <c r="K251" s="1"/>
      <c r="L251" s="1"/>
      <c r="M251" s="1"/>
      <c r="N251" s="1"/>
      <c r="O251" s="1"/>
      <c r="P251" s="1"/>
      <c r="Q251" s="1"/>
    </row>
    <row r="252" spans="2:17" ht="32" customHeight="1">
      <c r="B252" s="1"/>
      <c r="C252" s="29" t="s">
        <v>450</v>
      </c>
      <c r="D252" s="18" t="s">
        <v>451</v>
      </c>
      <c r="E252" s="18" t="s">
        <v>452</v>
      </c>
      <c r="F252" s="18" t="s">
        <v>453</v>
      </c>
      <c r="G252" s="93" t="s">
        <v>454</v>
      </c>
      <c r="H252" s="19" t="s">
        <v>455</v>
      </c>
      <c r="I252" s="1"/>
      <c r="J252" s="1"/>
      <c r="K252" s="1"/>
      <c r="L252" s="1"/>
      <c r="M252" s="1"/>
      <c r="N252" s="1"/>
      <c r="O252" s="1"/>
      <c r="P252" s="1"/>
      <c r="Q252" s="1"/>
    </row>
    <row r="253" spans="2:17" ht="32" customHeight="1">
      <c r="B253" s="1"/>
      <c r="C253" s="29" t="s">
        <v>456</v>
      </c>
      <c r="D253" s="18" t="s">
        <v>457</v>
      </c>
      <c r="E253" s="18" t="s">
        <v>452</v>
      </c>
      <c r="F253" s="18" t="s">
        <v>458</v>
      </c>
      <c r="G253" s="93" t="s">
        <v>459</v>
      </c>
      <c r="H253" s="19" t="s">
        <v>460</v>
      </c>
      <c r="I253" s="1"/>
      <c r="J253" s="1"/>
      <c r="K253" s="1"/>
      <c r="L253" s="1"/>
      <c r="M253" s="1"/>
      <c r="N253" s="1"/>
      <c r="O253" s="1"/>
      <c r="P253" s="1"/>
      <c r="Q253" s="1"/>
    </row>
    <row r="254" spans="2:17" ht="32" customHeight="1">
      <c r="B254" s="1"/>
      <c r="C254" s="29" t="s">
        <v>461</v>
      </c>
      <c r="D254" s="18" t="s">
        <v>462</v>
      </c>
      <c r="E254" s="18" t="s">
        <v>463</v>
      </c>
      <c r="F254" s="18" t="s">
        <v>464</v>
      </c>
      <c r="G254" s="93" t="s">
        <v>465</v>
      </c>
      <c r="H254" s="19" t="s">
        <v>466</v>
      </c>
      <c r="I254" s="1"/>
      <c r="J254" s="1"/>
      <c r="K254" s="1"/>
      <c r="L254" s="1"/>
      <c r="M254" s="1"/>
      <c r="N254" s="1"/>
      <c r="O254" s="1"/>
      <c r="P254" s="1"/>
      <c r="Q254" s="1"/>
    </row>
    <row r="255" spans="2:17" ht="32" customHeight="1">
      <c r="B255" s="1"/>
      <c r="C255" s="29" t="s">
        <v>467</v>
      </c>
      <c r="D255" s="18" t="s">
        <v>468</v>
      </c>
      <c r="E255" s="18" t="s">
        <v>469</v>
      </c>
      <c r="F255" s="18" t="s">
        <v>464</v>
      </c>
      <c r="G255" s="93" t="s">
        <v>470</v>
      </c>
      <c r="H255" s="19" t="s">
        <v>471</v>
      </c>
      <c r="I255" s="1"/>
      <c r="J255" s="1"/>
      <c r="K255" s="1"/>
      <c r="L255" s="1"/>
      <c r="M255" s="1"/>
      <c r="N255" s="1"/>
      <c r="O255" s="1"/>
      <c r="P255" s="1"/>
      <c r="Q255" s="1"/>
    </row>
    <row r="256" spans="2:17" ht="32" customHeight="1">
      <c r="B256" s="1"/>
      <c r="C256" s="30" t="s">
        <v>472</v>
      </c>
      <c r="D256" s="22" t="s">
        <v>473</v>
      </c>
      <c r="E256" s="22" t="s">
        <v>474</v>
      </c>
      <c r="F256" s="22" t="s">
        <v>475</v>
      </c>
      <c r="G256" s="98" t="s">
        <v>476</v>
      </c>
      <c r="H256" s="23" t="s">
        <v>477</v>
      </c>
      <c r="I256" s="1"/>
      <c r="J256" s="1"/>
      <c r="K256" s="1"/>
      <c r="L256" s="1"/>
      <c r="M256" s="1"/>
      <c r="N256" s="1"/>
      <c r="O256" s="1"/>
      <c r="P256" s="1"/>
      <c r="Q256" s="1"/>
    </row>
    <row r="257" spans="2:17">
      <c r="B257" s="1"/>
      <c r="C257" s="1"/>
      <c r="D257" s="1"/>
      <c r="E257" s="1"/>
      <c r="F257" s="1"/>
      <c r="G257" s="1"/>
      <c r="H257" s="1"/>
      <c r="I257" s="1"/>
      <c r="J257" s="1"/>
      <c r="K257" s="1"/>
      <c r="L257" s="1"/>
      <c r="M257" s="1"/>
      <c r="N257" s="1"/>
      <c r="O257" s="1"/>
      <c r="P257" s="1"/>
      <c r="Q257" s="1"/>
    </row>
    <row r="258" spans="2:17">
      <c r="B258" s="1"/>
      <c r="C258" s="1"/>
      <c r="D258" s="1"/>
      <c r="E258" s="1"/>
      <c r="F258" s="1"/>
      <c r="G258" s="1"/>
      <c r="H258" s="1"/>
      <c r="I258" s="1"/>
      <c r="J258" s="1"/>
      <c r="K258" s="1"/>
      <c r="L258" s="1"/>
      <c r="M258" s="1"/>
      <c r="N258" s="1"/>
      <c r="O258" s="1"/>
      <c r="P258" s="1"/>
      <c r="Q258" s="1"/>
    </row>
    <row r="259" spans="2:17" ht="21" customHeight="1">
      <c r="B259" s="177" t="s">
        <v>478</v>
      </c>
      <c r="C259" s="177"/>
      <c r="D259" s="177"/>
      <c r="E259" s="177"/>
      <c r="F259" s="177"/>
      <c r="G259" s="177"/>
      <c r="H259" s="177"/>
      <c r="I259" s="177"/>
      <c r="J259" s="177"/>
      <c r="K259" s="177"/>
      <c r="L259" s="177"/>
      <c r="M259" s="177"/>
      <c r="N259" s="177"/>
      <c r="O259" s="177"/>
      <c r="P259" s="177"/>
      <c r="Q259" s="177"/>
    </row>
    <row r="260" spans="2:17">
      <c r="B260" s="1"/>
      <c r="C260" s="1"/>
      <c r="D260" s="1"/>
      <c r="E260" s="1"/>
      <c r="F260" s="1"/>
      <c r="G260" s="1"/>
      <c r="H260" s="1"/>
      <c r="I260" s="1"/>
      <c r="J260" s="1"/>
      <c r="K260" s="1"/>
      <c r="L260" s="1"/>
      <c r="M260" s="1"/>
      <c r="N260" s="1"/>
      <c r="O260" s="1"/>
      <c r="P260" s="1"/>
      <c r="Q260" s="1"/>
    </row>
    <row r="261" spans="2:17">
      <c r="B261" s="1"/>
      <c r="C261" s="4" t="s">
        <v>98</v>
      </c>
      <c r="D261" s="4" t="s">
        <v>479</v>
      </c>
      <c r="E261" s="4" t="s">
        <v>480</v>
      </c>
      <c r="F261" s="4" t="s">
        <v>481</v>
      </c>
      <c r="G261" s="4" t="s">
        <v>482</v>
      </c>
      <c r="H261" s="4" t="s">
        <v>61</v>
      </c>
      <c r="I261" s="4" t="s">
        <v>260</v>
      </c>
      <c r="J261" s="1"/>
      <c r="K261" s="1"/>
      <c r="L261" s="1"/>
      <c r="M261" s="1"/>
      <c r="N261" s="1"/>
      <c r="O261" s="1"/>
      <c r="P261" s="1"/>
      <c r="Q261" s="1"/>
    </row>
    <row r="262" spans="2:17">
      <c r="B262" s="1"/>
      <c r="C262" s="25" t="s">
        <v>107</v>
      </c>
      <c r="D262" s="6" t="s">
        <v>187</v>
      </c>
      <c r="E262" s="100">
        <f>E158</f>
        <v>46710</v>
      </c>
      <c r="F262" s="101">
        <v>46710</v>
      </c>
      <c r="G262" s="100">
        <f t="shared" ref="G262:G301" si="3">E262-F262</f>
        <v>0</v>
      </c>
      <c r="H262" s="6" t="str">
        <f t="shared" ref="H262:H301" si="4">IF(ABS(G262)&lt;0.1,"OK","CHECK")</f>
        <v>OK</v>
      </c>
      <c r="I262" s="7" t="s">
        <v>483</v>
      </c>
      <c r="J262" s="1"/>
      <c r="K262" s="1"/>
      <c r="L262" s="1"/>
      <c r="M262" s="1"/>
      <c r="N262" s="1"/>
      <c r="O262" s="1"/>
      <c r="P262" s="1"/>
      <c r="Q262" s="1"/>
    </row>
    <row r="263" spans="2:17">
      <c r="B263" s="1"/>
      <c r="C263" s="26" t="s">
        <v>107</v>
      </c>
      <c r="D263" s="8" t="s">
        <v>188</v>
      </c>
      <c r="E263" s="102">
        <f>F158</f>
        <v>51217</v>
      </c>
      <c r="F263" s="103">
        <v>51217</v>
      </c>
      <c r="G263" s="102">
        <f t="shared" si="3"/>
        <v>0</v>
      </c>
      <c r="H263" s="8" t="str">
        <f t="shared" si="4"/>
        <v>OK</v>
      </c>
      <c r="I263" s="9" t="s">
        <v>483</v>
      </c>
      <c r="J263" s="1"/>
      <c r="K263" s="1"/>
      <c r="L263" s="1"/>
      <c r="M263" s="1"/>
      <c r="N263" s="1"/>
      <c r="O263" s="1"/>
      <c r="P263" s="1"/>
      <c r="Q263" s="1"/>
    </row>
    <row r="264" spans="2:17">
      <c r="B264" s="1"/>
      <c r="C264" s="26" t="s">
        <v>107</v>
      </c>
      <c r="D264" s="8" t="s">
        <v>189</v>
      </c>
      <c r="E264" s="102">
        <f>G158</f>
        <v>51362</v>
      </c>
      <c r="F264" s="103">
        <v>51362</v>
      </c>
      <c r="G264" s="102">
        <f t="shared" si="3"/>
        <v>0</v>
      </c>
      <c r="H264" s="8" t="str">
        <f t="shared" si="4"/>
        <v>OK</v>
      </c>
      <c r="I264" s="9" t="s">
        <v>483</v>
      </c>
      <c r="J264" s="1"/>
      <c r="K264" s="1"/>
      <c r="L264" s="1"/>
      <c r="M264" s="1"/>
      <c r="N264" s="1"/>
      <c r="O264" s="1"/>
      <c r="P264" s="1"/>
      <c r="Q264" s="1"/>
    </row>
    <row r="265" spans="2:17">
      <c r="B265" s="1"/>
      <c r="C265" s="26" t="s">
        <v>107</v>
      </c>
      <c r="D265" s="8" t="s">
        <v>190</v>
      </c>
      <c r="E265" s="102">
        <f>H158</f>
        <v>46309</v>
      </c>
      <c r="F265" s="103">
        <v>46309</v>
      </c>
      <c r="G265" s="102">
        <f t="shared" si="3"/>
        <v>0</v>
      </c>
      <c r="H265" s="8" t="str">
        <f t="shared" si="4"/>
        <v>OK</v>
      </c>
      <c r="I265" s="9" t="s">
        <v>381</v>
      </c>
      <c r="J265" s="1"/>
      <c r="K265" s="1"/>
      <c r="L265" s="1"/>
      <c r="M265" s="1"/>
      <c r="N265" s="1"/>
      <c r="O265" s="1"/>
      <c r="P265" s="1"/>
      <c r="Q265" s="1"/>
    </row>
    <row r="266" spans="2:17">
      <c r="B266" s="1"/>
      <c r="C266" s="26" t="s">
        <v>107</v>
      </c>
      <c r="D266" s="8" t="s">
        <v>99</v>
      </c>
      <c r="E266" s="102">
        <f>I158</f>
        <v>46398</v>
      </c>
      <c r="F266" s="103">
        <v>46398</v>
      </c>
      <c r="G266" s="102">
        <f t="shared" si="3"/>
        <v>0</v>
      </c>
      <c r="H266" s="8" t="str">
        <f t="shared" si="4"/>
        <v>OK</v>
      </c>
      <c r="I266" s="9" t="s">
        <v>381</v>
      </c>
      <c r="J266" s="1"/>
      <c r="K266" s="1"/>
      <c r="L266" s="1"/>
      <c r="M266" s="1"/>
      <c r="N266" s="1"/>
      <c r="O266" s="1"/>
      <c r="P266" s="1"/>
      <c r="Q266" s="1"/>
    </row>
    <row r="267" spans="2:17">
      <c r="B267" s="1"/>
      <c r="C267" s="26" t="s">
        <v>111</v>
      </c>
      <c r="D267" s="8" t="s">
        <v>187</v>
      </c>
      <c r="E267" s="102">
        <f>E167</f>
        <v>6046</v>
      </c>
      <c r="F267" s="103">
        <v>6046</v>
      </c>
      <c r="G267" s="102">
        <f t="shared" si="3"/>
        <v>0</v>
      </c>
      <c r="H267" s="8" t="str">
        <f t="shared" si="4"/>
        <v>OK</v>
      </c>
      <c r="I267" s="9" t="s">
        <v>483</v>
      </c>
      <c r="J267" s="1"/>
      <c r="K267" s="1"/>
      <c r="L267" s="1"/>
      <c r="M267" s="1"/>
      <c r="N267" s="1"/>
      <c r="O267" s="1"/>
      <c r="P267" s="1"/>
      <c r="Q267" s="1"/>
    </row>
    <row r="268" spans="2:17">
      <c r="B268" s="1"/>
      <c r="C268" s="26" t="s">
        <v>111</v>
      </c>
      <c r="D268" s="8" t="s">
        <v>188</v>
      </c>
      <c r="E268" s="102">
        <f>F167</f>
        <v>5070</v>
      </c>
      <c r="F268" s="103">
        <v>5070</v>
      </c>
      <c r="G268" s="102">
        <f t="shared" si="3"/>
        <v>0</v>
      </c>
      <c r="H268" s="8" t="str">
        <f t="shared" si="4"/>
        <v>OK</v>
      </c>
      <c r="I268" s="9" t="s">
        <v>483</v>
      </c>
      <c r="J268" s="1"/>
      <c r="K268" s="1"/>
      <c r="L268" s="1"/>
      <c r="M268" s="1"/>
      <c r="N268" s="1"/>
      <c r="O268" s="1"/>
      <c r="P268" s="1"/>
      <c r="Q268" s="1"/>
    </row>
    <row r="269" spans="2:17">
      <c r="B269" s="1"/>
      <c r="C269" s="26" t="s">
        <v>111</v>
      </c>
      <c r="D269" s="8" t="s">
        <v>189</v>
      </c>
      <c r="E269" s="102">
        <f>G167</f>
        <v>5700</v>
      </c>
      <c r="F269" s="103">
        <v>5700</v>
      </c>
      <c r="G269" s="102">
        <f t="shared" si="3"/>
        <v>0</v>
      </c>
      <c r="H269" s="8" t="str">
        <f t="shared" si="4"/>
        <v>OK</v>
      </c>
      <c r="I269" s="9" t="s">
        <v>483</v>
      </c>
      <c r="J269" s="1"/>
      <c r="K269" s="1"/>
      <c r="L269" s="1"/>
      <c r="M269" s="1"/>
      <c r="N269" s="1"/>
      <c r="O269" s="1"/>
      <c r="P269" s="1"/>
      <c r="Q269" s="1"/>
    </row>
    <row r="270" spans="2:17">
      <c r="B270" s="1"/>
      <c r="C270" s="26" t="s">
        <v>111</v>
      </c>
      <c r="D270" s="8" t="s">
        <v>190</v>
      </c>
      <c r="E270" s="102">
        <f>H167</f>
        <v>3219</v>
      </c>
      <c r="F270" s="103">
        <v>3219</v>
      </c>
      <c r="G270" s="102">
        <f t="shared" si="3"/>
        <v>0</v>
      </c>
      <c r="H270" s="8" t="str">
        <f t="shared" si="4"/>
        <v>OK</v>
      </c>
      <c r="I270" s="9" t="s">
        <v>381</v>
      </c>
      <c r="J270" s="1"/>
      <c r="K270" s="1"/>
      <c r="L270" s="1"/>
      <c r="M270" s="1"/>
      <c r="N270" s="1"/>
      <c r="O270" s="1"/>
      <c r="P270" s="1"/>
      <c r="Q270" s="1"/>
    </row>
    <row r="271" spans="2:17">
      <c r="B271" s="1"/>
      <c r="C271" s="26" t="s">
        <v>111</v>
      </c>
      <c r="D271" s="8" t="s">
        <v>99</v>
      </c>
      <c r="E271" s="102">
        <f>I167</f>
        <v>3108</v>
      </c>
      <c r="F271" s="103">
        <v>3108</v>
      </c>
      <c r="G271" s="102">
        <f t="shared" si="3"/>
        <v>0</v>
      </c>
      <c r="H271" s="8" t="str">
        <f t="shared" si="4"/>
        <v>OK</v>
      </c>
      <c r="I271" s="9" t="s">
        <v>381</v>
      </c>
      <c r="J271" s="1"/>
      <c r="K271" s="1"/>
      <c r="L271" s="1"/>
      <c r="M271" s="1"/>
      <c r="N271" s="1"/>
      <c r="O271" s="1"/>
      <c r="P271" s="1"/>
      <c r="Q271" s="1"/>
    </row>
    <row r="272" spans="2:17">
      <c r="B272" s="1"/>
      <c r="C272" s="26" t="s">
        <v>307</v>
      </c>
      <c r="D272" s="8" t="s">
        <v>187</v>
      </c>
      <c r="E272" s="102">
        <f>E201</f>
        <v>40321</v>
      </c>
      <c r="F272" s="103">
        <v>40321</v>
      </c>
      <c r="G272" s="102">
        <f t="shared" si="3"/>
        <v>0</v>
      </c>
      <c r="H272" s="8" t="str">
        <f t="shared" si="4"/>
        <v>OK</v>
      </c>
      <c r="I272" s="9" t="s">
        <v>483</v>
      </c>
      <c r="J272" s="1"/>
      <c r="K272" s="1"/>
      <c r="L272" s="1"/>
      <c r="M272" s="1"/>
      <c r="N272" s="1"/>
      <c r="O272" s="1"/>
      <c r="P272" s="1"/>
      <c r="Q272" s="1"/>
    </row>
    <row r="273" spans="2:17">
      <c r="B273" s="1"/>
      <c r="C273" s="26" t="s">
        <v>307</v>
      </c>
      <c r="D273" s="8" t="s">
        <v>188</v>
      </c>
      <c r="E273" s="102">
        <f>F201</f>
        <v>37531</v>
      </c>
      <c r="F273" s="103">
        <v>37531</v>
      </c>
      <c r="G273" s="102">
        <f t="shared" si="3"/>
        <v>0</v>
      </c>
      <c r="H273" s="8" t="str">
        <f t="shared" si="4"/>
        <v>OK</v>
      </c>
      <c r="I273" s="9" t="s">
        <v>483</v>
      </c>
      <c r="J273" s="1"/>
      <c r="K273" s="1"/>
      <c r="L273" s="1"/>
      <c r="M273" s="1"/>
      <c r="N273" s="1"/>
      <c r="O273" s="1"/>
      <c r="P273" s="1"/>
      <c r="Q273" s="1"/>
    </row>
    <row r="274" spans="2:17">
      <c r="B274" s="1"/>
      <c r="C274" s="26" t="s">
        <v>307</v>
      </c>
      <c r="D274" s="8" t="s">
        <v>189</v>
      </c>
      <c r="E274" s="102">
        <f>G201</f>
        <v>38110</v>
      </c>
      <c r="F274" s="103">
        <v>38110</v>
      </c>
      <c r="G274" s="102">
        <f t="shared" si="3"/>
        <v>0</v>
      </c>
      <c r="H274" s="8" t="str">
        <f t="shared" si="4"/>
        <v>OK</v>
      </c>
      <c r="I274" s="9" t="s">
        <v>483</v>
      </c>
      <c r="J274" s="1"/>
      <c r="K274" s="1"/>
      <c r="L274" s="1"/>
      <c r="M274" s="1"/>
      <c r="N274" s="1"/>
      <c r="O274" s="1"/>
      <c r="P274" s="1"/>
      <c r="Q274" s="1"/>
    </row>
    <row r="275" spans="2:17">
      <c r="B275" s="1"/>
      <c r="C275" s="26" t="s">
        <v>307</v>
      </c>
      <c r="D275" s="8" t="s">
        <v>190</v>
      </c>
      <c r="E275" s="102">
        <f>H201</f>
        <v>36579</v>
      </c>
      <c r="F275" s="103">
        <v>36579</v>
      </c>
      <c r="G275" s="102">
        <f t="shared" si="3"/>
        <v>0</v>
      </c>
      <c r="H275" s="8" t="str">
        <f t="shared" si="4"/>
        <v>OK</v>
      </c>
      <c r="I275" s="9" t="s">
        <v>381</v>
      </c>
      <c r="J275" s="1"/>
      <c r="K275" s="1"/>
      <c r="L275" s="1"/>
      <c r="M275" s="1"/>
      <c r="N275" s="1"/>
      <c r="O275" s="1"/>
      <c r="P275" s="1"/>
      <c r="Q275" s="1"/>
    </row>
    <row r="276" spans="2:17">
      <c r="B276" s="1"/>
      <c r="C276" s="26" t="s">
        <v>307</v>
      </c>
      <c r="D276" s="8" t="s">
        <v>99</v>
      </c>
      <c r="E276" s="102">
        <f>I201</f>
        <v>38410</v>
      </c>
      <c r="F276" s="103">
        <v>38410</v>
      </c>
      <c r="G276" s="102">
        <f t="shared" si="3"/>
        <v>0</v>
      </c>
      <c r="H276" s="8" t="str">
        <f t="shared" si="4"/>
        <v>OK</v>
      </c>
      <c r="I276" s="9" t="s">
        <v>381</v>
      </c>
      <c r="J276" s="1"/>
      <c r="K276" s="1"/>
      <c r="L276" s="1"/>
      <c r="M276" s="1"/>
      <c r="N276" s="1"/>
      <c r="O276" s="1"/>
      <c r="P276" s="1"/>
      <c r="Q276" s="1"/>
    </row>
    <row r="277" spans="2:17">
      <c r="B277" s="1"/>
      <c r="C277" s="26" t="s">
        <v>323</v>
      </c>
      <c r="D277" s="8" t="s">
        <v>187</v>
      </c>
      <c r="E277" s="102">
        <f>E215</f>
        <v>40321</v>
      </c>
      <c r="F277" s="103">
        <v>40321</v>
      </c>
      <c r="G277" s="102">
        <f t="shared" si="3"/>
        <v>0</v>
      </c>
      <c r="H277" s="8" t="str">
        <f t="shared" si="4"/>
        <v>OK</v>
      </c>
      <c r="I277" s="9" t="s">
        <v>483</v>
      </c>
      <c r="J277" s="1"/>
      <c r="K277" s="1"/>
      <c r="L277" s="1"/>
      <c r="M277" s="1"/>
      <c r="N277" s="1"/>
      <c r="O277" s="1"/>
      <c r="P277" s="1"/>
      <c r="Q277" s="1"/>
    </row>
    <row r="278" spans="2:17">
      <c r="B278" s="1"/>
      <c r="C278" s="26" t="s">
        <v>323</v>
      </c>
      <c r="D278" s="8" t="s">
        <v>188</v>
      </c>
      <c r="E278" s="102">
        <f>F215</f>
        <v>37531</v>
      </c>
      <c r="F278" s="103">
        <v>37531</v>
      </c>
      <c r="G278" s="102">
        <f t="shared" si="3"/>
        <v>0</v>
      </c>
      <c r="H278" s="8" t="str">
        <f t="shared" si="4"/>
        <v>OK</v>
      </c>
      <c r="I278" s="9" t="s">
        <v>483</v>
      </c>
      <c r="J278" s="1"/>
      <c r="K278" s="1"/>
      <c r="L278" s="1"/>
      <c r="M278" s="1"/>
      <c r="N278" s="1"/>
      <c r="O278" s="1"/>
      <c r="P278" s="1"/>
      <c r="Q278" s="1"/>
    </row>
    <row r="279" spans="2:17">
      <c r="B279" s="1"/>
      <c r="C279" s="26" t="s">
        <v>323</v>
      </c>
      <c r="D279" s="8" t="s">
        <v>189</v>
      </c>
      <c r="E279" s="102">
        <f>G215</f>
        <v>38110</v>
      </c>
      <c r="F279" s="103">
        <v>38110</v>
      </c>
      <c r="G279" s="102">
        <f t="shared" si="3"/>
        <v>0</v>
      </c>
      <c r="H279" s="8" t="str">
        <f t="shared" si="4"/>
        <v>OK</v>
      </c>
      <c r="I279" s="9" t="s">
        <v>483</v>
      </c>
      <c r="J279" s="1"/>
      <c r="K279" s="1"/>
      <c r="L279" s="1"/>
      <c r="M279" s="1"/>
      <c r="N279" s="1"/>
      <c r="O279" s="1"/>
      <c r="P279" s="1"/>
      <c r="Q279" s="1"/>
    </row>
    <row r="280" spans="2:17">
      <c r="B280" s="1"/>
      <c r="C280" s="26" t="s">
        <v>323</v>
      </c>
      <c r="D280" s="8" t="s">
        <v>190</v>
      </c>
      <c r="E280" s="102">
        <f>H215</f>
        <v>36579</v>
      </c>
      <c r="F280" s="103">
        <v>36579</v>
      </c>
      <c r="G280" s="102">
        <f t="shared" si="3"/>
        <v>0</v>
      </c>
      <c r="H280" s="8" t="str">
        <f t="shared" si="4"/>
        <v>OK</v>
      </c>
      <c r="I280" s="9" t="s">
        <v>381</v>
      </c>
      <c r="J280" s="1"/>
      <c r="K280" s="1"/>
      <c r="L280" s="1"/>
      <c r="M280" s="1"/>
      <c r="N280" s="1"/>
      <c r="O280" s="1"/>
      <c r="P280" s="1"/>
      <c r="Q280" s="1"/>
    </row>
    <row r="281" spans="2:17">
      <c r="B281" s="1"/>
      <c r="C281" s="26" t="s">
        <v>323</v>
      </c>
      <c r="D281" s="8" t="s">
        <v>99</v>
      </c>
      <c r="E281" s="102">
        <f>I215</f>
        <v>38410</v>
      </c>
      <c r="F281" s="103">
        <v>38410</v>
      </c>
      <c r="G281" s="102">
        <f t="shared" si="3"/>
        <v>0</v>
      </c>
      <c r="H281" s="8" t="str">
        <f t="shared" si="4"/>
        <v>OK</v>
      </c>
      <c r="I281" s="9" t="s">
        <v>381</v>
      </c>
      <c r="J281" s="1"/>
      <c r="K281" s="1"/>
      <c r="L281" s="1"/>
      <c r="M281" s="1"/>
      <c r="N281" s="1"/>
      <c r="O281" s="1"/>
      <c r="P281" s="1"/>
      <c r="Q281" s="1"/>
    </row>
    <row r="282" spans="2:17">
      <c r="B282" s="1"/>
      <c r="C282" s="26" t="s">
        <v>113</v>
      </c>
      <c r="D282" s="8" t="s">
        <v>187</v>
      </c>
      <c r="E282" s="102">
        <f>E179</f>
        <v>5188</v>
      </c>
      <c r="F282" s="103">
        <v>5188</v>
      </c>
      <c r="G282" s="102">
        <f t="shared" si="3"/>
        <v>0</v>
      </c>
      <c r="H282" s="8" t="str">
        <f t="shared" si="4"/>
        <v>OK</v>
      </c>
      <c r="I282" s="9" t="s">
        <v>483</v>
      </c>
      <c r="J282" s="1"/>
      <c r="K282" s="1"/>
      <c r="L282" s="1"/>
      <c r="M282" s="1"/>
      <c r="N282" s="1"/>
      <c r="O282" s="1"/>
      <c r="P282" s="1"/>
      <c r="Q282" s="1"/>
    </row>
    <row r="283" spans="2:17">
      <c r="B283" s="1"/>
      <c r="C283" s="26" t="s">
        <v>113</v>
      </c>
      <c r="D283" s="8" t="s">
        <v>188</v>
      </c>
      <c r="E283" s="102">
        <f>F179</f>
        <v>5841</v>
      </c>
      <c r="F283" s="103">
        <v>5841</v>
      </c>
      <c r="G283" s="102">
        <f t="shared" si="3"/>
        <v>0</v>
      </c>
      <c r="H283" s="8" t="str">
        <f t="shared" si="4"/>
        <v>OK</v>
      </c>
      <c r="I283" s="9" t="s">
        <v>483</v>
      </c>
      <c r="J283" s="1"/>
      <c r="K283" s="1"/>
      <c r="L283" s="1"/>
      <c r="M283" s="1"/>
      <c r="N283" s="1"/>
      <c r="O283" s="1"/>
      <c r="P283" s="1"/>
      <c r="Q283" s="1"/>
    </row>
    <row r="284" spans="2:17">
      <c r="B284" s="1"/>
      <c r="C284" s="26" t="s">
        <v>113</v>
      </c>
      <c r="D284" s="8" t="s">
        <v>189</v>
      </c>
      <c r="E284" s="102">
        <f>G179</f>
        <v>7429</v>
      </c>
      <c r="F284" s="103">
        <v>7429</v>
      </c>
      <c r="G284" s="102">
        <f t="shared" si="3"/>
        <v>0</v>
      </c>
      <c r="H284" s="8" t="str">
        <f t="shared" si="4"/>
        <v>OK</v>
      </c>
      <c r="I284" s="9" t="s">
        <v>483</v>
      </c>
      <c r="J284" s="1"/>
      <c r="K284" s="1"/>
      <c r="L284" s="1"/>
      <c r="M284" s="1"/>
      <c r="N284" s="1"/>
      <c r="O284" s="1"/>
      <c r="P284" s="1"/>
      <c r="Q284" s="1"/>
    </row>
    <row r="285" spans="2:17">
      <c r="B285" s="1"/>
      <c r="C285" s="26" t="s">
        <v>113</v>
      </c>
      <c r="D285" s="8" t="s">
        <v>190</v>
      </c>
      <c r="E285" s="102">
        <f>H179</f>
        <v>3698</v>
      </c>
      <c r="F285" s="103">
        <v>3698</v>
      </c>
      <c r="G285" s="102">
        <f t="shared" si="3"/>
        <v>0</v>
      </c>
      <c r="H285" s="8" t="str">
        <f t="shared" si="4"/>
        <v>OK</v>
      </c>
      <c r="I285" s="9" t="s">
        <v>381</v>
      </c>
      <c r="J285" s="1"/>
      <c r="K285" s="1"/>
      <c r="L285" s="1"/>
      <c r="M285" s="1"/>
      <c r="N285" s="1"/>
      <c r="O285" s="1"/>
      <c r="P285" s="1"/>
      <c r="Q285" s="1"/>
    </row>
    <row r="286" spans="2:17">
      <c r="B286" s="1"/>
      <c r="C286" s="26" t="s">
        <v>113</v>
      </c>
      <c r="D286" s="8" t="s">
        <v>99</v>
      </c>
      <c r="E286" s="102">
        <f>I179</f>
        <v>2868</v>
      </c>
      <c r="F286" s="103">
        <v>2868</v>
      </c>
      <c r="G286" s="102">
        <f t="shared" si="3"/>
        <v>0</v>
      </c>
      <c r="H286" s="8" t="str">
        <f t="shared" si="4"/>
        <v>OK</v>
      </c>
      <c r="I286" s="9" t="s">
        <v>381</v>
      </c>
      <c r="J286" s="1"/>
      <c r="K286" s="1"/>
      <c r="L286" s="1"/>
      <c r="M286" s="1"/>
      <c r="N286" s="1"/>
      <c r="O286" s="1"/>
      <c r="P286" s="1"/>
      <c r="Q286" s="1"/>
    </row>
    <row r="287" spans="2:17">
      <c r="B287" s="1"/>
      <c r="C287" s="26" t="s">
        <v>286</v>
      </c>
      <c r="D287" s="8" t="s">
        <v>187</v>
      </c>
      <c r="E287" s="102">
        <f>E181</f>
        <v>-1524</v>
      </c>
      <c r="F287" s="103">
        <v>-1524</v>
      </c>
      <c r="G287" s="102">
        <f t="shared" si="3"/>
        <v>0</v>
      </c>
      <c r="H287" s="8" t="str">
        <f t="shared" si="4"/>
        <v>OK</v>
      </c>
      <c r="I287" s="9" t="s">
        <v>483</v>
      </c>
      <c r="J287" s="1"/>
      <c r="K287" s="1"/>
      <c r="L287" s="1"/>
      <c r="M287" s="1"/>
      <c r="N287" s="1"/>
      <c r="O287" s="1"/>
      <c r="P287" s="1"/>
      <c r="Q287" s="1"/>
    </row>
    <row r="288" spans="2:17">
      <c r="B288" s="1"/>
      <c r="C288" s="26" t="s">
        <v>286</v>
      </c>
      <c r="D288" s="8" t="s">
        <v>188</v>
      </c>
      <c r="E288" s="102">
        <f>F181</f>
        <v>564</v>
      </c>
      <c r="F288" s="103">
        <v>564</v>
      </c>
      <c r="G288" s="102">
        <f t="shared" si="3"/>
        <v>0</v>
      </c>
      <c r="H288" s="8" t="str">
        <f t="shared" si="4"/>
        <v>OK</v>
      </c>
      <c r="I288" s="9" t="s">
        <v>483</v>
      </c>
      <c r="J288" s="1"/>
      <c r="K288" s="1"/>
      <c r="L288" s="1"/>
      <c r="M288" s="1"/>
      <c r="N288" s="1"/>
      <c r="O288" s="1"/>
      <c r="P288" s="1"/>
      <c r="Q288" s="1"/>
    </row>
    <row r="289" spans="2:17">
      <c r="B289" s="1"/>
      <c r="C289" s="26" t="s">
        <v>286</v>
      </c>
      <c r="D289" s="8" t="s">
        <v>189</v>
      </c>
      <c r="E289" s="102">
        <f>G181</f>
        <v>894</v>
      </c>
      <c r="F289" s="103">
        <v>894</v>
      </c>
      <c r="G289" s="102">
        <f t="shared" si="3"/>
        <v>0</v>
      </c>
      <c r="H289" s="8" t="str">
        <f t="shared" si="4"/>
        <v>OK</v>
      </c>
      <c r="I289" s="9" t="s">
        <v>483</v>
      </c>
      <c r="J289" s="1"/>
      <c r="K289" s="1"/>
      <c r="L289" s="1"/>
      <c r="M289" s="1"/>
      <c r="N289" s="1"/>
      <c r="O289" s="1"/>
      <c r="P289" s="1"/>
      <c r="Q289" s="1"/>
    </row>
    <row r="290" spans="2:17">
      <c r="B290" s="1"/>
      <c r="C290" s="26" t="s">
        <v>286</v>
      </c>
      <c r="D290" s="8" t="s">
        <v>190</v>
      </c>
      <c r="E290" s="102">
        <f>H181</f>
        <v>-275</v>
      </c>
      <c r="F290" s="103">
        <v>-275</v>
      </c>
      <c r="G290" s="102">
        <f t="shared" si="3"/>
        <v>0</v>
      </c>
      <c r="H290" s="8" t="str">
        <f t="shared" si="4"/>
        <v>OK</v>
      </c>
      <c r="I290" s="9" t="s">
        <v>381</v>
      </c>
      <c r="J290" s="1"/>
      <c r="K290" s="1"/>
      <c r="L290" s="1"/>
      <c r="M290" s="1"/>
      <c r="N290" s="1"/>
      <c r="O290" s="1"/>
      <c r="P290" s="1"/>
      <c r="Q290" s="1"/>
    </row>
    <row r="291" spans="2:17">
      <c r="B291" s="1"/>
      <c r="C291" s="26" t="s">
        <v>286</v>
      </c>
      <c r="D291" s="8" t="s">
        <v>99</v>
      </c>
      <c r="E291" s="102">
        <f>I181</f>
        <v>-488</v>
      </c>
      <c r="F291" s="103">
        <v>-488</v>
      </c>
      <c r="G291" s="102">
        <f t="shared" si="3"/>
        <v>0</v>
      </c>
      <c r="H291" s="8" t="str">
        <f t="shared" si="4"/>
        <v>OK</v>
      </c>
      <c r="I291" s="9" t="s">
        <v>381</v>
      </c>
      <c r="J291" s="1"/>
      <c r="K291" s="1"/>
      <c r="L291" s="1"/>
      <c r="M291" s="1"/>
      <c r="N291" s="1"/>
      <c r="O291" s="1"/>
      <c r="P291" s="1"/>
      <c r="Q291" s="1"/>
    </row>
    <row r="292" spans="2:17">
      <c r="B292" s="1"/>
      <c r="C292" s="26" t="s">
        <v>292</v>
      </c>
      <c r="D292" s="8" t="s">
        <v>187</v>
      </c>
      <c r="E292" s="102">
        <f>E186</f>
        <v>-4836</v>
      </c>
      <c r="F292" s="103">
        <v>-4836</v>
      </c>
      <c r="G292" s="102">
        <f t="shared" si="3"/>
        <v>0</v>
      </c>
      <c r="H292" s="8" t="str">
        <f t="shared" si="4"/>
        <v>OK</v>
      </c>
      <c r="I292" s="9" t="s">
        <v>483</v>
      </c>
      <c r="J292" s="1"/>
      <c r="K292" s="1"/>
      <c r="L292" s="1"/>
      <c r="M292" s="1"/>
      <c r="N292" s="1"/>
      <c r="O292" s="1"/>
      <c r="P292" s="1"/>
      <c r="Q292" s="1"/>
    </row>
    <row r="293" spans="2:17">
      <c r="B293" s="1"/>
      <c r="C293" s="26" t="s">
        <v>292</v>
      </c>
      <c r="D293" s="8" t="s">
        <v>188</v>
      </c>
      <c r="E293" s="102">
        <f>F186</f>
        <v>-7447</v>
      </c>
      <c r="F293" s="103">
        <v>-7447</v>
      </c>
      <c r="G293" s="102">
        <f t="shared" si="3"/>
        <v>0</v>
      </c>
      <c r="H293" s="8" t="str">
        <f t="shared" si="4"/>
        <v>OK</v>
      </c>
      <c r="I293" s="9" t="s">
        <v>483</v>
      </c>
      <c r="J293" s="1"/>
      <c r="K293" s="1"/>
      <c r="L293" s="1"/>
      <c r="M293" s="1"/>
      <c r="N293" s="1"/>
      <c r="O293" s="1"/>
      <c r="P293" s="1"/>
      <c r="Q293" s="1"/>
    </row>
    <row r="294" spans="2:17">
      <c r="B294" s="1"/>
      <c r="C294" s="26" t="s">
        <v>292</v>
      </c>
      <c r="D294" s="8" t="s">
        <v>189</v>
      </c>
      <c r="E294" s="102">
        <f>G186</f>
        <v>-5888</v>
      </c>
      <c r="F294" s="103">
        <v>-5888</v>
      </c>
      <c r="G294" s="102">
        <f t="shared" si="3"/>
        <v>0</v>
      </c>
      <c r="H294" s="8" t="str">
        <f t="shared" si="4"/>
        <v>OK</v>
      </c>
      <c r="I294" s="9" t="s">
        <v>483</v>
      </c>
      <c r="J294" s="1"/>
      <c r="K294" s="1"/>
      <c r="L294" s="1"/>
      <c r="M294" s="1"/>
      <c r="N294" s="1"/>
      <c r="O294" s="1"/>
      <c r="P294" s="1"/>
      <c r="Q294" s="1"/>
    </row>
    <row r="295" spans="2:17">
      <c r="B295" s="1"/>
      <c r="C295" s="26" t="s">
        <v>292</v>
      </c>
      <c r="D295" s="8" t="s">
        <v>190</v>
      </c>
      <c r="E295" s="102">
        <f>H186</f>
        <v>-5820</v>
      </c>
      <c r="F295" s="103">
        <v>-5820</v>
      </c>
      <c r="G295" s="102">
        <f t="shared" si="3"/>
        <v>0</v>
      </c>
      <c r="H295" s="8" t="str">
        <f t="shared" si="4"/>
        <v>OK</v>
      </c>
      <c r="I295" s="9" t="s">
        <v>381</v>
      </c>
      <c r="J295" s="1"/>
      <c r="K295" s="1"/>
      <c r="L295" s="1"/>
      <c r="M295" s="1"/>
      <c r="N295" s="1"/>
      <c r="O295" s="1"/>
      <c r="P295" s="1"/>
      <c r="Q295" s="1"/>
    </row>
    <row r="296" spans="2:17">
      <c r="B296" s="1"/>
      <c r="C296" s="26" t="s">
        <v>292</v>
      </c>
      <c r="D296" s="8" t="s">
        <v>99</v>
      </c>
      <c r="E296" s="102">
        <f>I186</f>
        <v>-2292</v>
      </c>
      <c r="F296" s="103">
        <v>-2292</v>
      </c>
      <c r="G296" s="102">
        <f t="shared" si="3"/>
        <v>0</v>
      </c>
      <c r="H296" s="8" t="str">
        <f t="shared" si="4"/>
        <v>OK</v>
      </c>
      <c r="I296" s="9" t="s">
        <v>381</v>
      </c>
      <c r="J296" s="1"/>
      <c r="K296" s="1"/>
      <c r="L296" s="1"/>
      <c r="M296" s="1"/>
      <c r="N296" s="1"/>
      <c r="O296" s="1"/>
      <c r="P296" s="1"/>
      <c r="Q296" s="1"/>
    </row>
    <row r="297" spans="2:17">
      <c r="B297" s="1"/>
      <c r="C297" s="26" t="s">
        <v>484</v>
      </c>
      <c r="D297" s="8" t="s">
        <v>187</v>
      </c>
      <c r="E297" s="102">
        <f>E190</f>
        <v>8574</v>
      </c>
      <c r="F297" s="103">
        <v>8574</v>
      </c>
      <c r="G297" s="102">
        <f t="shared" si="3"/>
        <v>0</v>
      </c>
      <c r="H297" s="8" t="str">
        <f t="shared" si="4"/>
        <v>OK</v>
      </c>
      <c r="I297" s="9" t="s">
        <v>483</v>
      </c>
      <c r="J297" s="1"/>
      <c r="K297" s="1"/>
      <c r="L297" s="1"/>
      <c r="M297" s="1"/>
      <c r="N297" s="1"/>
      <c r="O297" s="1"/>
      <c r="P297" s="1"/>
      <c r="Q297" s="1"/>
    </row>
    <row r="298" spans="2:17">
      <c r="B298" s="1"/>
      <c r="C298" s="26" t="s">
        <v>484</v>
      </c>
      <c r="D298" s="8" t="s">
        <v>188</v>
      </c>
      <c r="E298" s="102">
        <f>F190</f>
        <v>7441</v>
      </c>
      <c r="F298" s="103">
        <v>7441</v>
      </c>
      <c r="G298" s="102">
        <f t="shared" si="3"/>
        <v>0</v>
      </c>
      <c r="H298" s="8" t="str">
        <f t="shared" si="4"/>
        <v>OK</v>
      </c>
      <c r="I298" s="9" t="s">
        <v>483</v>
      </c>
      <c r="J298" s="1"/>
      <c r="K298" s="1"/>
      <c r="L298" s="1"/>
      <c r="M298" s="1"/>
      <c r="N298" s="1"/>
      <c r="O298" s="1"/>
      <c r="P298" s="1"/>
      <c r="Q298" s="1"/>
    </row>
    <row r="299" spans="2:17">
      <c r="B299" s="1"/>
      <c r="C299" s="26" t="s">
        <v>484</v>
      </c>
      <c r="D299" s="8" t="s">
        <v>189</v>
      </c>
      <c r="E299" s="102">
        <f>G190</f>
        <v>9860</v>
      </c>
      <c r="F299" s="103">
        <v>9860</v>
      </c>
      <c r="G299" s="102">
        <f t="shared" si="3"/>
        <v>0</v>
      </c>
      <c r="H299" s="8" t="str">
        <f t="shared" si="4"/>
        <v>OK</v>
      </c>
      <c r="I299" s="9" t="s">
        <v>483</v>
      </c>
      <c r="J299" s="1"/>
      <c r="K299" s="1"/>
      <c r="L299" s="1"/>
      <c r="M299" s="1"/>
      <c r="N299" s="1"/>
      <c r="O299" s="1"/>
      <c r="P299" s="1"/>
      <c r="Q299" s="1"/>
    </row>
    <row r="300" spans="2:17">
      <c r="B300" s="1"/>
      <c r="C300" s="26" t="s">
        <v>484</v>
      </c>
      <c r="D300" s="8" t="s">
        <v>190</v>
      </c>
      <c r="E300" s="102">
        <f>H190</f>
        <v>7464</v>
      </c>
      <c r="F300" s="103">
        <v>7464</v>
      </c>
      <c r="G300" s="102">
        <f t="shared" si="3"/>
        <v>0</v>
      </c>
      <c r="H300" s="8" t="str">
        <f t="shared" si="4"/>
        <v>OK</v>
      </c>
      <c r="I300" s="9" t="s">
        <v>381</v>
      </c>
      <c r="J300" s="1"/>
      <c r="K300" s="1"/>
      <c r="L300" s="1"/>
      <c r="M300" s="1"/>
      <c r="N300" s="1"/>
      <c r="O300" s="1"/>
      <c r="P300" s="1"/>
      <c r="Q300" s="1"/>
    </row>
    <row r="301" spans="2:17">
      <c r="B301" s="1"/>
      <c r="C301" s="27" t="s">
        <v>484</v>
      </c>
      <c r="D301" s="10" t="s">
        <v>99</v>
      </c>
      <c r="E301" s="104">
        <f>I190</f>
        <v>7563</v>
      </c>
      <c r="F301" s="105">
        <v>7563</v>
      </c>
      <c r="G301" s="104">
        <f t="shared" si="3"/>
        <v>0</v>
      </c>
      <c r="H301" s="10" t="str">
        <f t="shared" si="4"/>
        <v>OK</v>
      </c>
      <c r="I301" s="11" t="s">
        <v>381</v>
      </c>
      <c r="J301" s="1"/>
      <c r="K301" s="1"/>
      <c r="L301" s="1"/>
      <c r="M301" s="1"/>
      <c r="N301" s="1"/>
      <c r="O301" s="1"/>
      <c r="P301" s="1"/>
      <c r="Q301" s="1"/>
    </row>
    <row r="302" spans="2:17">
      <c r="B302" s="1"/>
      <c r="C302" s="1"/>
      <c r="D302" s="1"/>
      <c r="E302" s="1"/>
      <c r="F302" s="1"/>
      <c r="G302" s="1"/>
      <c r="H302" s="1"/>
      <c r="I302" s="1"/>
      <c r="J302" s="1"/>
      <c r="K302" s="1"/>
      <c r="L302" s="1"/>
      <c r="M302" s="1"/>
      <c r="N302" s="1"/>
      <c r="O302" s="1"/>
      <c r="P302" s="1"/>
      <c r="Q302" s="1"/>
    </row>
    <row r="303" spans="2:17">
      <c r="B303" s="1"/>
      <c r="C303" s="1"/>
      <c r="D303" s="1"/>
      <c r="E303" s="1"/>
      <c r="F303" s="1"/>
      <c r="G303" s="1"/>
      <c r="H303" s="1"/>
      <c r="I303" s="1"/>
      <c r="J303" s="1"/>
      <c r="K303" s="1"/>
      <c r="L303" s="1"/>
      <c r="M303" s="1"/>
      <c r="N303" s="1"/>
      <c r="O303" s="1"/>
      <c r="P303" s="1"/>
      <c r="Q303" s="1"/>
    </row>
    <row r="304" spans="2:17" ht="21" customHeight="1">
      <c r="B304" s="177" t="s">
        <v>485</v>
      </c>
      <c r="C304" s="177"/>
      <c r="D304" s="177"/>
      <c r="E304" s="177"/>
      <c r="F304" s="177"/>
      <c r="G304" s="177"/>
      <c r="H304" s="177"/>
      <c r="I304" s="177"/>
      <c r="J304" s="177"/>
      <c r="K304" s="177"/>
      <c r="L304" s="177"/>
      <c r="M304" s="177"/>
      <c r="N304" s="177"/>
      <c r="O304" s="177"/>
      <c r="P304" s="177"/>
      <c r="Q304" s="177"/>
    </row>
    <row r="305" spans="2:17">
      <c r="B305" s="1"/>
      <c r="C305" s="1"/>
      <c r="D305" s="1"/>
      <c r="E305" s="1"/>
      <c r="F305" s="1"/>
      <c r="G305" s="1"/>
      <c r="H305" s="1"/>
      <c r="I305" s="1"/>
      <c r="J305" s="1"/>
      <c r="K305" s="1"/>
      <c r="L305" s="1"/>
      <c r="M305" s="1"/>
      <c r="N305" s="1"/>
      <c r="O305" s="1"/>
      <c r="P305" s="1"/>
      <c r="Q305" s="1"/>
    </row>
    <row r="306" spans="2:17">
      <c r="B306" s="1"/>
      <c r="C306" s="82" t="s">
        <v>486</v>
      </c>
      <c r="D306" s="82" t="s">
        <v>487</v>
      </c>
      <c r="E306" s="82" t="s">
        <v>186</v>
      </c>
      <c r="F306" s="82" t="s">
        <v>100</v>
      </c>
      <c r="G306" s="82" t="s">
        <v>101</v>
      </c>
      <c r="H306" s="82" t="s">
        <v>102</v>
      </c>
      <c r="I306" s="82" t="s">
        <v>103</v>
      </c>
      <c r="J306" s="82" t="s">
        <v>104</v>
      </c>
      <c r="K306" s="82" t="s">
        <v>488</v>
      </c>
      <c r="L306" s="82" t="s">
        <v>489</v>
      </c>
      <c r="M306" s="82" t="s">
        <v>260</v>
      </c>
      <c r="N306" s="82" t="s">
        <v>490</v>
      </c>
      <c r="O306" s="1"/>
      <c r="P306" s="1"/>
      <c r="Q306" s="1"/>
    </row>
    <row r="307" spans="2:17" ht="30" customHeight="1">
      <c r="B307" s="1"/>
      <c r="C307" s="28" t="s">
        <v>491</v>
      </c>
      <c r="D307" s="14" t="s">
        <v>124</v>
      </c>
      <c r="E307" s="14" t="s">
        <v>191</v>
      </c>
      <c r="F307" s="108">
        <f t="shared" ref="F307:F326" si="5">J18</f>
        <v>0.04</v>
      </c>
      <c r="G307" s="108">
        <f t="shared" ref="G307:G326" si="6">K18</f>
        <v>0.05</v>
      </c>
      <c r="H307" s="108">
        <f t="shared" ref="H307:H326" si="7">L18</f>
        <v>5.5E-2</v>
      </c>
      <c r="I307" s="108">
        <f t="shared" ref="I307:I326" si="8">M18</f>
        <v>5.5E-2</v>
      </c>
      <c r="J307" s="108">
        <f t="shared" ref="J307:J326" si="9">N18</f>
        <v>5.5E-2</v>
      </c>
      <c r="K307" s="14" t="s">
        <v>492</v>
      </c>
      <c r="L307" s="14" t="s">
        <v>493</v>
      </c>
      <c r="M307" s="14" t="s">
        <v>494</v>
      </c>
      <c r="N307" s="15" t="s">
        <v>495</v>
      </c>
      <c r="O307" s="1"/>
      <c r="P307" s="1"/>
      <c r="Q307" s="1"/>
    </row>
    <row r="308" spans="2:17" ht="30" customHeight="1">
      <c r="B308" s="1"/>
      <c r="C308" s="29" t="s">
        <v>496</v>
      </c>
      <c r="D308" s="18" t="s">
        <v>128</v>
      </c>
      <c r="E308" s="18" t="s">
        <v>191</v>
      </c>
      <c r="F308" s="109">
        <f t="shared" si="5"/>
        <v>0.432</v>
      </c>
      <c r="G308" s="109">
        <f t="shared" si="6"/>
        <v>0.438</v>
      </c>
      <c r="H308" s="109">
        <f t="shared" si="7"/>
        <v>0.44400000000000001</v>
      </c>
      <c r="I308" s="109">
        <f t="shared" si="8"/>
        <v>0.44900000000000001</v>
      </c>
      <c r="J308" s="109">
        <f t="shared" si="9"/>
        <v>0.45300000000000001</v>
      </c>
      <c r="K308" s="18" t="s">
        <v>497</v>
      </c>
      <c r="L308" s="18" t="s">
        <v>498</v>
      </c>
      <c r="M308" s="18" t="s">
        <v>499</v>
      </c>
      <c r="N308" s="19" t="s">
        <v>495</v>
      </c>
      <c r="O308" s="1"/>
      <c r="P308" s="1"/>
      <c r="Q308" s="1"/>
    </row>
    <row r="309" spans="2:17" ht="30" customHeight="1">
      <c r="B309" s="1"/>
      <c r="C309" s="29" t="s">
        <v>500</v>
      </c>
      <c r="D309" s="18" t="s">
        <v>192</v>
      </c>
      <c r="E309" s="18" t="s">
        <v>191</v>
      </c>
      <c r="F309" s="109">
        <f t="shared" si="5"/>
        <v>0.105</v>
      </c>
      <c r="G309" s="109">
        <f t="shared" si="6"/>
        <v>0.106</v>
      </c>
      <c r="H309" s="109">
        <f t="shared" si="7"/>
        <v>0.105</v>
      </c>
      <c r="I309" s="109">
        <f t="shared" si="8"/>
        <v>0.104</v>
      </c>
      <c r="J309" s="109">
        <f t="shared" si="9"/>
        <v>0.10299999999999999</v>
      </c>
      <c r="K309" s="18" t="s">
        <v>501</v>
      </c>
      <c r="L309" s="18" t="s">
        <v>502</v>
      </c>
      <c r="M309" s="18" t="s">
        <v>381</v>
      </c>
      <c r="N309" s="19" t="s">
        <v>495</v>
      </c>
      <c r="O309" s="1"/>
      <c r="P309" s="1"/>
      <c r="Q309" s="1"/>
    </row>
    <row r="310" spans="2:17" ht="30" customHeight="1">
      <c r="B310" s="1"/>
      <c r="C310" s="29" t="s">
        <v>503</v>
      </c>
      <c r="D310" s="18" t="s">
        <v>193</v>
      </c>
      <c r="E310" s="18" t="s">
        <v>191</v>
      </c>
      <c r="F310" s="109">
        <f t="shared" si="5"/>
        <v>0.245</v>
      </c>
      <c r="G310" s="109">
        <f t="shared" si="6"/>
        <v>0.23799999999999999</v>
      </c>
      <c r="H310" s="109">
        <f t="shared" si="7"/>
        <v>0.23200000000000001</v>
      </c>
      <c r="I310" s="109">
        <f t="shared" si="8"/>
        <v>0.22700000000000001</v>
      </c>
      <c r="J310" s="109">
        <f t="shared" si="9"/>
        <v>0.223</v>
      </c>
      <c r="K310" s="18" t="s">
        <v>504</v>
      </c>
      <c r="L310" s="18" t="s">
        <v>505</v>
      </c>
      <c r="M310" s="18" t="s">
        <v>506</v>
      </c>
      <c r="N310" s="19" t="s">
        <v>495</v>
      </c>
      <c r="O310" s="1"/>
      <c r="P310" s="1"/>
      <c r="Q310" s="1"/>
    </row>
    <row r="311" spans="2:17" ht="30" customHeight="1">
      <c r="B311" s="1"/>
      <c r="C311" s="29" t="s">
        <v>507</v>
      </c>
      <c r="D311" s="18" t="s">
        <v>194</v>
      </c>
      <c r="E311" s="18" t="s">
        <v>195</v>
      </c>
      <c r="F311" s="110">
        <f t="shared" si="5"/>
        <v>44</v>
      </c>
      <c r="G311" s="110">
        <f t="shared" si="6"/>
        <v>43</v>
      </c>
      <c r="H311" s="110">
        <f t="shared" si="7"/>
        <v>42</v>
      </c>
      <c r="I311" s="110">
        <f t="shared" si="8"/>
        <v>41</v>
      </c>
      <c r="J311" s="110">
        <f t="shared" si="9"/>
        <v>40</v>
      </c>
      <c r="K311" s="18" t="s">
        <v>508</v>
      </c>
      <c r="L311" s="18" t="s">
        <v>509</v>
      </c>
      <c r="M311" s="18" t="s">
        <v>506</v>
      </c>
      <c r="N311" s="19" t="s">
        <v>495</v>
      </c>
      <c r="O311" s="1"/>
      <c r="P311" s="1"/>
      <c r="Q311" s="1"/>
    </row>
    <row r="312" spans="2:17" ht="30" customHeight="1">
      <c r="B312" s="1"/>
      <c r="C312" s="29" t="s">
        <v>510</v>
      </c>
      <c r="D312" s="18" t="s">
        <v>196</v>
      </c>
      <c r="E312" s="18" t="s">
        <v>195</v>
      </c>
      <c r="F312" s="110">
        <f t="shared" si="5"/>
        <v>101</v>
      </c>
      <c r="G312" s="110">
        <f t="shared" si="6"/>
        <v>99</v>
      </c>
      <c r="H312" s="110">
        <f t="shared" si="7"/>
        <v>97</v>
      </c>
      <c r="I312" s="110">
        <f t="shared" si="8"/>
        <v>96</v>
      </c>
      <c r="J312" s="110">
        <f t="shared" si="9"/>
        <v>95</v>
      </c>
      <c r="K312" s="18" t="s">
        <v>511</v>
      </c>
      <c r="L312" s="18" t="s">
        <v>512</v>
      </c>
      <c r="M312" s="18" t="s">
        <v>506</v>
      </c>
      <c r="N312" s="19" t="s">
        <v>495</v>
      </c>
      <c r="O312" s="1"/>
      <c r="P312" s="1"/>
      <c r="Q312" s="1"/>
    </row>
    <row r="313" spans="2:17" ht="30" customHeight="1">
      <c r="B313" s="1"/>
      <c r="C313" s="29" t="s">
        <v>513</v>
      </c>
      <c r="D313" s="18" t="s">
        <v>197</v>
      </c>
      <c r="E313" s="18" t="s">
        <v>195</v>
      </c>
      <c r="F313" s="110">
        <f t="shared" si="5"/>
        <v>49</v>
      </c>
      <c r="G313" s="110">
        <f t="shared" si="6"/>
        <v>50</v>
      </c>
      <c r="H313" s="110">
        <f t="shared" si="7"/>
        <v>50</v>
      </c>
      <c r="I313" s="110">
        <f t="shared" si="8"/>
        <v>51</v>
      </c>
      <c r="J313" s="110">
        <f t="shared" si="9"/>
        <v>52</v>
      </c>
      <c r="K313" s="18" t="s">
        <v>514</v>
      </c>
      <c r="L313" s="18" t="s">
        <v>515</v>
      </c>
      <c r="M313" s="18" t="s">
        <v>381</v>
      </c>
      <c r="N313" s="19" t="s">
        <v>495</v>
      </c>
      <c r="O313" s="1"/>
      <c r="P313" s="1"/>
      <c r="Q313" s="1"/>
    </row>
    <row r="314" spans="2:17" ht="30" customHeight="1">
      <c r="B314" s="1"/>
      <c r="C314" s="29" t="s">
        <v>516</v>
      </c>
      <c r="D314" s="18" t="s">
        <v>198</v>
      </c>
      <c r="E314" s="18" t="s">
        <v>191</v>
      </c>
      <c r="F314" s="109">
        <f t="shared" si="5"/>
        <v>4.4999999999999998E-2</v>
      </c>
      <c r="G314" s="109">
        <f t="shared" si="6"/>
        <v>4.3999999999999997E-2</v>
      </c>
      <c r="H314" s="109">
        <f t="shared" si="7"/>
        <v>4.2999999999999997E-2</v>
      </c>
      <c r="I314" s="109">
        <f t="shared" si="8"/>
        <v>4.2000000000000003E-2</v>
      </c>
      <c r="J314" s="109">
        <f t="shared" si="9"/>
        <v>4.1000000000000002E-2</v>
      </c>
      <c r="K314" s="18" t="s">
        <v>517</v>
      </c>
      <c r="L314" s="18" t="s">
        <v>518</v>
      </c>
      <c r="M314" s="18" t="s">
        <v>506</v>
      </c>
      <c r="N314" s="19" t="s">
        <v>495</v>
      </c>
      <c r="O314" s="1"/>
      <c r="P314" s="1"/>
      <c r="Q314" s="1"/>
    </row>
    <row r="315" spans="2:17" ht="30" customHeight="1">
      <c r="B315" s="1"/>
      <c r="C315" s="29" t="s">
        <v>519</v>
      </c>
      <c r="D315" s="18" t="s">
        <v>199</v>
      </c>
      <c r="E315" s="18" t="s">
        <v>191</v>
      </c>
      <c r="F315" s="109">
        <f t="shared" si="5"/>
        <v>0.121</v>
      </c>
      <c r="G315" s="109">
        <f t="shared" si="6"/>
        <v>0.11899999999999999</v>
      </c>
      <c r="H315" s="109">
        <f t="shared" si="7"/>
        <v>0.11700000000000001</v>
      </c>
      <c r="I315" s="109">
        <f t="shared" si="8"/>
        <v>0.115</v>
      </c>
      <c r="J315" s="109">
        <f t="shared" si="9"/>
        <v>0.113</v>
      </c>
      <c r="K315" s="18" t="s">
        <v>520</v>
      </c>
      <c r="L315" s="18" t="s">
        <v>521</v>
      </c>
      <c r="M315" s="18" t="s">
        <v>381</v>
      </c>
      <c r="N315" s="19" t="s">
        <v>495</v>
      </c>
      <c r="O315" s="1"/>
      <c r="P315" s="1"/>
      <c r="Q315" s="1"/>
    </row>
    <row r="316" spans="2:17" ht="30" customHeight="1">
      <c r="B316" s="1"/>
      <c r="C316" s="29" t="s">
        <v>522</v>
      </c>
      <c r="D316" s="18" t="s">
        <v>200</v>
      </c>
      <c r="E316" s="18" t="s">
        <v>191</v>
      </c>
      <c r="F316" s="109">
        <f t="shared" si="5"/>
        <v>0.13200000000000001</v>
      </c>
      <c r="G316" s="109">
        <f t="shared" si="6"/>
        <v>0.13</v>
      </c>
      <c r="H316" s="109">
        <f t="shared" si="7"/>
        <v>0.128</v>
      </c>
      <c r="I316" s="109">
        <f t="shared" si="8"/>
        <v>0.126</v>
      </c>
      <c r="J316" s="109">
        <f t="shared" si="9"/>
        <v>0.124</v>
      </c>
      <c r="K316" s="18" t="s">
        <v>523</v>
      </c>
      <c r="L316" s="18" t="s">
        <v>524</v>
      </c>
      <c r="M316" s="18" t="s">
        <v>381</v>
      </c>
      <c r="N316" s="19" t="s">
        <v>495</v>
      </c>
      <c r="O316" s="1"/>
      <c r="P316" s="1"/>
      <c r="Q316" s="1"/>
    </row>
    <row r="317" spans="2:17" ht="30" customHeight="1">
      <c r="B317" s="1"/>
      <c r="C317" s="29" t="s">
        <v>525</v>
      </c>
      <c r="D317" s="18" t="s">
        <v>201</v>
      </c>
      <c r="E317" s="18" t="s">
        <v>191</v>
      </c>
      <c r="F317" s="109">
        <f t="shared" si="5"/>
        <v>5.2999999999999999E-2</v>
      </c>
      <c r="G317" s="109">
        <f t="shared" si="6"/>
        <v>5.1999999999999998E-2</v>
      </c>
      <c r="H317" s="109">
        <f t="shared" si="7"/>
        <v>5.0999999999999997E-2</v>
      </c>
      <c r="I317" s="109">
        <f t="shared" si="8"/>
        <v>0.05</v>
      </c>
      <c r="J317" s="109">
        <f t="shared" si="9"/>
        <v>4.9000000000000002E-2</v>
      </c>
      <c r="K317" s="18" t="s">
        <v>526</v>
      </c>
      <c r="L317" s="18" t="s">
        <v>527</v>
      </c>
      <c r="M317" s="18" t="s">
        <v>381</v>
      </c>
      <c r="N317" s="19" t="s">
        <v>495</v>
      </c>
      <c r="O317" s="1"/>
      <c r="P317" s="1"/>
      <c r="Q317" s="1"/>
    </row>
    <row r="318" spans="2:17" ht="30" customHeight="1">
      <c r="B318" s="1"/>
      <c r="C318" s="29" t="s">
        <v>528</v>
      </c>
      <c r="D318" s="18" t="s">
        <v>130</v>
      </c>
      <c r="E318" s="18" t="s">
        <v>191</v>
      </c>
      <c r="F318" s="109">
        <f t="shared" si="5"/>
        <v>2.1999999999999999E-2</v>
      </c>
      <c r="G318" s="109">
        <f t="shared" si="6"/>
        <v>2.1000000000000001E-2</v>
      </c>
      <c r="H318" s="109">
        <f t="shared" si="7"/>
        <v>0.02</v>
      </c>
      <c r="I318" s="109">
        <f t="shared" si="8"/>
        <v>1.9E-2</v>
      </c>
      <c r="J318" s="109">
        <f t="shared" si="9"/>
        <v>1.7999999999999999E-2</v>
      </c>
      <c r="K318" s="18" t="s">
        <v>529</v>
      </c>
      <c r="L318" s="18" t="s">
        <v>530</v>
      </c>
      <c r="M318" s="18" t="s">
        <v>506</v>
      </c>
      <c r="N318" s="19" t="s">
        <v>495</v>
      </c>
      <c r="O318" s="1"/>
      <c r="P318" s="1"/>
      <c r="Q318" s="1"/>
    </row>
    <row r="319" spans="2:17" ht="30" customHeight="1">
      <c r="B319" s="1"/>
      <c r="C319" s="29" t="s">
        <v>531</v>
      </c>
      <c r="D319" s="18" t="s">
        <v>202</v>
      </c>
      <c r="E319" s="18" t="s">
        <v>191</v>
      </c>
      <c r="F319" s="109">
        <f t="shared" si="5"/>
        <v>1.6E-2</v>
      </c>
      <c r="G319" s="109">
        <f t="shared" si="6"/>
        <v>1.6E-2</v>
      </c>
      <c r="H319" s="109">
        <f t="shared" si="7"/>
        <v>1.6E-2</v>
      </c>
      <c r="I319" s="109">
        <f t="shared" si="8"/>
        <v>1.6E-2</v>
      </c>
      <c r="J319" s="109">
        <f t="shared" si="9"/>
        <v>1.6E-2</v>
      </c>
      <c r="K319" s="18" t="s">
        <v>532</v>
      </c>
      <c r="L319" s="18" t="s">
        <v>533</v>
      </c>
      <c r="M319" s="18" t="s">
        <v>381</v>
      </c>
      <c r="N319" s="19" t="s">
        <v>495</v>
      </c>
      <c r="O319" s="1"/>
      <c r="P319" s="1"/>
      <c r="Q319" s="1"/>
    </row>
    <row r="320" spans="2:17" ht="30" customHeight="1">
      <c r="B320" s="1"/>
      <c r="C320" s="29" t="s">
        <v>534</v>
      </c>
      <c r="D320" s="18" t="s">
        <v>203</v>
      </c>
      <c r="E320" s="18" t="s">
        <v>191</v>
      </c>
      <c r="F320" s="109">
        <f t="shared" si="5"/>
        <v>1.4999999999999999E-2</v>
      </c>
      <c r="G320" s="109">
        <f t="shared" si="6"/>
        <v>1.4999999999999999E-2</v>
      </c>
      <c r="H320" s="109">
        <f t="shared" si="7"/>
        <v>1.4999999999999999E-2</v>
      </c>
      <c r="I320" s="109">
        <f t="shared" si="8"/>
        <v>1.4999999999999999E-2</v>
      </c>
      <c r="J320" s="109">
        <f t="shared" si="9"/>
        <v>1.4999999999999999E-2</v>
      </c>
      <c r="K320" s="18" t="s">
        <v>532</v>
      </c>
      <c r="L320" s="18" t="s">
        <v>535</v>
      </c>
      <c r="M320" s="18" t="s">
        <v>381</v>
      </c>
      <c r="N320" s="19" t="s">
        <v>495</v>
      </c>
      <c r="O320" s="1"/>
      <c r="P320" s="1"/>
      <c r="Q320" s="1"/>
    </row>
    <row r="321" spans="2:17" ht="30" customHeight="1">
      <c r="B321" s="1"/>
      <c r="C321" s="29" t="s">
        <v>536</v>
      </c>
      <c r="D321" s="18" t="s">
        <v>204</v>
      </c>
      <c r="E321" s="18" t="s">
        <v>191</v>
      </c>
      <c r="F321" s="109">
        <f t="shared" si="5"/>
        <v>0.65</v>
      </c>
      <c r="G321" s="109">
        <f t="shared" si="6"/>
        <v>0.62</v>
      </c>
      <c r="H321" s="109">
        <f t="shared" si="7"/>
        <v>0.6</v>
      </c>
      <c r="I321" s="109">
        <f t="shared" si="8"/>
        <v>0.57999999999999996</v>
      </c>
      <c r="J321" s="109">
        <f t="shared" si="9"/>
        <v>0.55000000000000004</v>
      </c>
      <c r="K321" s="18" t="s">
        <v>537</v>
      </c>
      <c r="L321" s="18" t="s">
        <v>538</v>
      </c>
      <c r="M321" s="18" t="s">
        <v>381</v>
      </c>
      <c r="N321" s="19" t="s">
        <v>495</v>
      </c>
      <c r="O321" s="1"/>
      <c r="P321" s="1"/>
      <c r="Q321" s="1"/>
    </row>
    <row r="322" spans="2:17" ht="30" customHeight="1">
      <c r="B322" s="1"/>
      <c r="C322" s="29" t="s">
        <v>539</v>
      </c>
      <c r="D322" s="18" t="s">
        <v>205</v>
      </c>
      <c r="E322" s="18" t="s">
        <v>206</v>
      </c>
      <c r="F322" s="111">
        <f t="shared" si="5"/>
        <v>500</v>
      </c>
      <c r="G322" s="111">
        <f t="shared" si="6"/>
        <v>500</v>
      </c>
      <c r="H322" s="111">
        <f t="shared" si="7"/>
        <v>500</v>
      </c>
      <c r="I322" s="111">
        <f t="shared" si="8"/>
        <v>500</v>
      </c>
      <c r="J322" s="111">
        <f t="shared" si="9"/>
        <v>500</v>
      </c>
      <c r="K322" s="18" t="s">
        <v>540</v>
      </c>
      <c r="L322" s="18" t="s">
        <v>541</v>
      </c>
      <c r="M322" s="18" t="s">
        <v>381</v>
      </c>
      <c r="N322" s="19" t="s">
        <v>495</v>
      </c>
      <c r="O322" s="1"/>
      <c r="P322" s="1"/>
      <c r="Q322" s="1"/>
    </row>
    <row r="323" spans="2:17" ht="30" customHeight="1">
      <c r="B323" s="1"/>
      <c r="C323" s="29" t="s">
        <v>542</v>
      </c>
      <c r="D323" s="18" t="s">
        <v>207</v>
      </c>
      <c r="E323" s="18" t="s">
        <v>206</v>
      </c>
      <c r="F323" s="111">
        <f t="shared" si="5"/>
        <v>500</v>
      </c>
      <c r="G323" s="111">
        <f t="shared" si="6"/>
        <v>500</v>
      </c>
      <c r="H323" s="111">
        <f t="shared" si="7"/>
        <v>500</v>
      </c>
      <c r="I323" s="111">
        <f t="shared" si="8"/>
        <v>500</v>
      </c>
      <c r="J323" s="111">
        <f t="shared" si="9"/>
        <v>500</v>
      </c>
      <c r="K323" s="18" t="s">
        <v>543</v>
      </c>
      <c r="L323" s="18" t="s">
        <v>544</v>
      </c>
      <c r="M323" s="18" t="s">
        <v>381</v>
      </c>
      <c r="N323" s="19" t="s">
        <v>495</v>
      </c>
      <c r="O323" s="1"/>
      <c r="P323" s="1"/>
      <c r="Q323" s="1"/>
    </row>
    <row r="324" spans="2:17" ht="30" customHeight="1">
      <c r="B324" s="1"/>
      <c r="C324" s="29" t="s">
        <v>545</v>
      </c>
      <c r="D324" s="18" t="s">
        <v>208</v>
      </c>
      <c r="E324" s="18" t="s">
        <v>206</v>
      </c>
      <c r="F324" s="111">
        <f t="shared" si="5"/>
        <v>150</v>
      </c>
      <c r="G324" s="111">
        <f t="shared" si="6"/>
        <v>150</v>
      </c>
      <c r="H324" s="111">
        <f t="shared" si="7"/>
        <v>150</v>
      </c>
      <c r="I324" s="111">
        <f t="shared" si="8"/>
        <v>150</v>
      </c>
      <c r="J324" s="111">
        <f t="shared" si="9"/>
        <v>150</v>
      </c>
      <c r="K324" s="18" t="s">
        <v>546</v>
      </c>
      <c r="L324" s="18" t="s">
        <v>547</v>
      </c>
      <c r="M324" s="18" t="s">
        <v>381</v>
      </c>
      <c r="N324" s="19" t="s">
        <v>495</v>
      </c>
      <c r="O324" s="1"/>
      <c r="P324" s="1"/>
      <c r="Q324" s="1"/>
    </row>
    <row r="325" spans="2:17" ht="30" customHeight="1">
      <c r="B325" s="1"/>
      <c r="C325" s="29" t="s">
        <v>548</v>
      </c>
      <c r="D325" s="18" t="s">
        <v>209</v>
      </c>
      <c r="E325" s="18" t="s">
        <v>191</v>
      </c>
      <c r="F325" s="109">
        <f t="shared" si="5"/>
        <v>0.03</v>
      </c>
      <c r="G325" s="109">
        <f t="shared" si="6"/>
        <v>2.9000000000000001E-2</v>
      </c>
      <c r="H325" s="109">
        <f t="shared" si="7"/>
        <v>2.8000000000000001E-2</v>
      </c>
      <c r="I325" s="109">
        <f t="shared" si="8"/>
        <v>2.7E-2</v>
      </c>
      <c r="J325" s="109">
        <f t="shared" si="9"/>
        <v>2.5999999999999999E-2</v>
      </c>
      <c r="K325" s="18" t="s">
        <v>549</v>
      </c>
      <c r="L325" s="18" t="s">
        <v>550</v>
      </c>
      <c r="M325" s="18" t="s">
        <v>381</v>
      </c>
      <c r="N325" s="19" t="s">
        <v>495</v>
      </c>
      <c r="O325" s="1"/>
      <c r="P325" s="1"/>
      <c r="Q325" s="1"/>
    </row>
    <row r="326" spans="2:17" ht="30" customHeight="1">
      <c r="B326" s="1"/>
      <c r="C326" s="29" t="s">
        <v>551</v>
      </c>
      <c r="D326" s="18" t="s">
        <v>210</v>
      </c>
      <c r="E326" s="18" t="s">
        <v>191</v>
      </c>
      <c r="F326" s="109">
        <f t="shared" si="5"/>
        <v>0.06</v>
      </c>
      <c r="G326" s="109">
        <f t="shared" si="6"/>
        <v>5.8000000000000003E-2</v>
      </c>
      <c r="H326" s="109">
        <f t="shared" si="7"/>
        <v>5.6000000000000001E-2</v>
      </c>
      <c r="I326" s="109">
        <f t="shared" si="8"/>
        <v>5.3999999999999999E-2</v>
      </c>
      <c r="J326" s="109">
        <f t="shared" si="9"/>
        <v>5.1999999999999998E-2</v>
      </c>
      <c r="K326" s="18" t="s">
        <v>552</v>
      </c>
      <c r="L326" s="18" t="s">
        <v>553</v>
      </c>
      <c r="M326" s="18" t="s">
        <v>381</v>
      </c>
      <c r="N326" s="19" t="s">
        <v>495</v>
      </c>
      <c r="O326" s="1"/>
      <c r="P326" s="1"/>
      <c r="Q326" s="1"/>
    </row>
    <row r="327" spans="2:17" ht="30" customHeight="1">
      <c r="B327" s="1"/>
      <c r="C327" s="29" t="s">
        <v>554</v>
      </c>
      <c r="D327" s="18" t="s">
        <v>216</v>
      </c>
      <c r="E327" s="18" t="s">
        <v>191</v>
      </c>
      <c r="F327" s="109">
        <f>$D$140</f>
        <v>4.7399999999999998E-2</v>
      </c>
      <c r="G327" s="18"/>
      <c r="H327" s="18"/>
      <c r="I327" s="18"/>
      <c r="J327" s="18"/>
      <c r="K327" s="18" t="s">
        <v>555</v>
      </c>
      <c r="L327" s="18" t="s">
        <v>556</v>
      </c>
      <c r="M327" s="18" t="s">
        <v>427</v>
      </c>
      <c r="N327" s="19" t="s">
        <v>495</v>
      </c>
      <c r="O327" s="1"/>
      <c r="P327" s="1"/>
      <c r="Q327" s="1"/>
    </row>
    <row r="328" spans="2:17" ht="30" customHeight="1">
      <c r="B328" s="1"/>
      <c r="C328" s="29" t="s">
        <v>557</v>
      </c>
      <c r="D328" s="18" t="s">
        <v>221</v>
      </c>
      <c r="E328" s="18" t="s">
        <v>191</v>
      </c>
      <c r="F328" s="109">
        <f>$D$141</f>
        <v>4.2799999999999998E-2</v>
      </c>
      <c r="G328" s="18"/>
      <c r="H328" s="18"/>
      <c r="I328" s="18"/>
      <c r="J328" s="18"/>
      <c r="K328" s="18" t="s">
        <v>558</v>
      </c>
      <c r="L328" s="18" t="s">
        <v>559</v>
      </c>
      <c r="M328" s="18" t="s">
        <v>432</v>
      </c>
      <c r="N328" s="19" t="s">
        <v>495</v>
      </c>
      <c r="O328" s="1"/>
      <c r="P328" s="1"/>
      <c r="Q328" s="1"/>
    </row>
    <row r="329" spans="2:17" ht="30" customHeight="1">
      <c r="B329" s="1"/>
      <c r="C329" s="29" t="s">
        <v>560</v>
      </c>
      <c r="D329" s="18" t="s">
        <v>225</v>
      </c>
      <c r="E329" s="18" t="s">
        <v>561</v>
      </c>
      <c r="F329" s="112">
        <f>$D$142</f>
        <v>1.05</v>
      </c>
      <c r="G329" s="18"/>
      <c r="H329" s="18"/>
      <c r="I329" s="18"/>
      <c r="J329" s="18"/>
      <c r="K329" s="18" t="s">
        <v>562</v>
      </c>
      <c r="L329" s="18" t="s">
        <v>563</v>
      </c>
      <c r="M329" s="18" t="s">
        <v>564</v>
      </c>
      <c r="N329" s="19" t="s">
        <v>495</v>
      </c>
      <c r="O329" s="1"/>
      <c r="P329" s="1"/>
      <c r="Q329" s="1"/>
    </row>
    <row r="330" spans="2:17" ht="30" customHeight="1">
      <c r="B330" s="1"/>
      <c r="C330" s="29" t="s">
        <v>565</v>
      </c>
      <c r="D330" s="18" t="s">
        <v>229</v>
      </c>
      <c r="E330" s="18" t="s">
        <v>191</v>
      </c>
      <c r="F330" s="109">
        <f>$D$143</f>
        <v>5.3400000000000003E-2</v>
      </c>
      <c r="G330" s="18"/>
      <c r="H330" s="18"/>
      <c r="I330" s="18"/>
      <c r="J330" s="18"/>
      <c r="K330" s="18" t="s">
        <v>566</v>
      </c>
      <c r="L330" s="18" t="s">
        <v>567</v>
      </c>
      <c r="M330" s="18" t="s">
        <v>568</v>
      </c>
      <c r="N330" s="19" t="s">
        <v>495</v>
      </c>
      <c r="O330" s="1"/>
      <c r="P330" s="1"/>
      <c r="Q330" s="1"/>
    </row>
    <row r="331" spans="2:17" ht="30" customHeight="1">
      <c r="B331" s="1"/>
      <c r="C331" s="29" t="s">
        <v>569</v>
      </c>
      <c r="D331" s="18" t="s">
        <v>232</v>
      </c>
      <c r="E331" s="18" t="s">
        <v>191</v>
      </c>
      <c r="F331" s="109">
        <f>$D$144</f>
        <v>0.12</v>
      </c>
      <c r="G331" s="18"/>
      <c r="H331" s="18"/>
      <c r="I331" s="18"/>
      <c r="J331" s="18"/>
      <c r="K331" s="18" t="s">
        <v>570</v>
      </c>
      <c r="L331" s="18" t="s">
        <v>571</v>
      </c>
      <c r="M331" s="18" t="s">
        <v>572</v>
      </c>
      <c r="N331" s="19" t="s">
        <v>495</v>
      </c>
      <c r="O331" s="1"/>
      <c r="P331" s="1"/>
      <c r="Q331" s="1"/>
    </row>
    <row r="332" spans="2:17" ht="30" customHeight="1">
      <c r="B332" s="1"/>
      <c r="C332" s="29" t="s">
        <v>573</v>
      </c>
      <c r="D332" s="18" t="s">
        <v>234</v>
      </c>
      <c r="E332" s="18" t="s">
        <v>191</v>
      </c>
      <c r="F332" s="109">
        <f>$D$145</f>
        <v>0.88</v>
      </c>
      <c r="G332" s="18"/>
      <c r="H332" s="18"/>
      <c r="I332" s="18"/>
      <c r="J332" s="18"/>
      <c r="K332" s="18" t="s">
        <v>574</v>
      </c>
      <c r="L332" s="18" t="s">
        <v>575</v>
      </c>
      <c r="M332" s="18" t="s">
        <v>572</v>
      </c>
      <c r="N332" s="19" t="s">
        <v>495</v>
      </c>
      <c r="O332" s="1"/>
      <c r="P332" s="1"/>
      <c r="Q332" s="1"/>
    </row>
    <row r="333" spans="2:17" ht="30" customHeight="1">
      <c r="B333" s="1"/>
      <c r="C333" s="29" t="s">
        <v>576</v>
      </c>
      <c r="D333" s="18" t="s">
        <v>577</v>
      </c>
      <c r="E333" s="18" t="s">
        <v>191</v>
      </c>
      <c r="F333" s="109">
        <f>$D$146</f>
        <v>2.5000000000000001E-2</v>
      </c>
      <c r="G333" s="18"/>
      <c r="H333" s="18"/>
      <c r="I333" s="18"/>
      <c r="J333" s="18"/>
      <c r="K333" s="18" t="s">
        <v>578</v>
      </c>
      <c r="L333" s="18" t="s">
        <v>579</v>
      </c>
      <c r="M333" s="18" t="s">
        <v>580</v>
      </c>
      <c r="N333" s="19" t="s">
        <v>495</v>
      </c>
      <c r="O333" s="1"/>
      <c r="P333" s="1"/>
      <c r="Q333" s="1"/>
    </row>
    <row r="334" spans="2:17" ht="30" customHeight="1">
      <c r="B334" s="1"/>
      <c r="C334" s="29" t="s">
        <v>581</v>
      </c>
      <c r="D334" s="18" t="s">
        <v>238</v>
      </c>
      <c r="E334" s="18" t="s">
        <v>191</v>
      </c>
      <c r="F334" s="109">
        <f>$D$147</f>
        <v>0.1</v>
      </c>
      <c r="G334" s="18"/>
      <c r="H334" s="18"/>
      <c r="I334" s="18"/>
      <c r="J334" s="18"/>
      <c r="K334" s="18" t="s">
        <v>582</v>
      </c>
      <c r="L334" s="18" t="s">
        <v>583</v>
      </c>
      <c r="M334" s="18" t="s">
        <v>472</v>
      </c>
      <c r="N334" s="19" t="s">
        <v>495</v>
      </c>
      <c r="O334" s="1"/>
      <c r="P334" s="1"/>
      <c r="Q334" s="1"/>
    </row>
    <row r="335" spans="2:17" ht="30" customHeight="1">
      <c r="B335" s="1"/>
      <c r="C335" s="29" t="s">
        <v>584</v>
      </c>
      <c r="D335" s="18" t="s">
        <v>585</v>
      </c>
      <c r="E335" s="18" t="s">
        <v>206</v>
      </c>
      <c r="F335" s="111">
        <f>$D$148</f>
        <v>250</v>
      </c>
      <c r="G335" s="18"/>
      <c r="H335" s="18"/>
      <c r="I335" s="18"/>
      <c r="J335" s="18"/>
      <c r="K335" s="18" t="s">
        <v>586</v>
      </c>
      <c r="L335" s="18" t="s">
        <v>587</v>
      </c>
      <c r="M335" s="18" t="s">
        <v>472</v>
      </c>
      <c r="N335" s="19" t="s">
        <v>495</v>
      </c>
      <c r="O335" s="1"/>
      <c r="P335" s="1"/>
      <c r="Q335" s="1"/>
    </row>
    <row r="336" spans="2:17" ht="30" customHeight="1">
      <c r="B336" s="1"/>
      <c r="C336" s="29" t="s">
        <v>588</v>
      </c>
      <c r="D336" s="18" t="s">
        <v>589</v>
      </c>
      <c r="E336" s="18" t="s">
        <v>561</v>
      </c>
      <c r="F336" s="112">
        <f>$D$149</f>
        <v>5</v>
      </c>
      <c r="G336" s="18"/>
      <c r="H336" s="18"/>
      <c r="I336" s="18"/>
      <c r="J336" s="18"/>
      <c r="K336" s="18" t="s">
        <v>590</v>
      </c>
      <c r="L336" s="18" t="s">
        <v>591</v>
      </c>
      <c r="M336" s="18" t="s">
        <v>472</v>
      </c>
      <c r="N336" s="19" t="s">
        <v>495</v>
      </c>
      <c r="O336" s="1"/>
      <c r="P336" s="1"/>
      <c r="Q336" s="1"/>
    </row>
    <row r="337" spans="2:17" ht="30" customHeight="1">
      <c r="B337" s="1"/>
      <c r="C337" s="29" t="s">
        <v>592</v>
      </c>
      <c r="D337" s="18" t="s">
        <v>593</v>
      </c>
      <c r="E337" s="18" t="s">
        <v>191</v>
      </c>
      <c r="F337" s="109">
        <f>$D$150</f>
        <v>0.25</v>
      </c>
      <c r="G337" s="18"/>
      <c r="H337" s="18"/>
      <c r="I337" s="18"/>
      <c r="J337" s="18"/>
      <c r="K337" s="18" t="s">
        <v>594</v>
      </c>
      <c r="L337" s="18" t="s">
        <v>595</v>
      </c>
      <c r="M337" s="18" t="s">
        <v>472</v>
      </c>
      <c r="N337" s="19" t="s">
        <v>495</v>
      </c>
      <c r="O337" s="1"/>
      <c r="P337" s="1"/>
      <c r="Q337" s="1"/>
    </row>
    <row r="338" spans="2:17" ht="30" customHeight="1">
      <c r="B338" s="1"/>
      <c r="C338" s="29" t="s">
        <v>596</v>
      </c>
      <c r="D338" s="18" t="s">
        <v>597</v>
      </c>
      <c r="E338" s="18" t="s">
        <v>191</v>
      </c>
      <c r="F338" s="109">
        <f>$D$151</f>
        <v>0.05</v>
      </c>
      <c r="G338" s="18"/>
      <c r="H338" s="18"/>
      <c r="I338" s="18"/>
      <c r="J338" s="18"/>
      <c r="K338" s="18" t="s">
        <v>598</v>
      </c>
      <c r="L338" s="18" t="s">
        <v>599</v>
      </c>
      <c r="M338" s="18" t="s">
        <v>472</v>
      </c>
      <c r="N338" s="19" t="s">
        <v>495</v>
      </c>
      <c r="O338" s="1"/>
      <c r="P338" s="1"/>
      <c r="Q338" s="1"/>
    </row>
    <row r="339" spans="2:17" ht="30" customHeight="1">
      <c r="B339" s="1"/>
      <c r="C339" s="29" t="s">
        <v>600</v>
      </c>
      <c r="D339" s="18" t="s">
        <v>601</v>
      </c>
      <c r="E339" s="18" t="s">
        <v>272</v>
      </c>
      <c r="F339" s="113">
        <f>$D$152</f>
        <v>40.76</v>
      </c>
      <c r="G339" s="18"/>
      <c r="H339" s="18"/>
      <c r="I339" s="18"/>
      <c r="J339" s="18"/>
      <c r="K339" s="18" t="s">
        <v>602</v>
      </c>
      <c r="L339" s="18" t="s">
        <v>603</v>
      </c>
      <c r="M339" s="18" t="s">
        <v>404</v>
      </c>
      <c r="N339" s="19" t="s">
        <v>495</v>
      </c>
      <c r="O339" s="1"/>
      <c r="P339" s="1"/>
      <c r="Q339" s="1"/>
    </row>
    <row r="340" spans="2:17" ht="30" customHeight="1">
      <c r="B340" s="1"/>
      <c r="C340" s="29" t="s">
        <v>604</v>
      </c>
      <c r="D340" s="18" t="s">
        <v>605</v>
      </c>
      <c r="E340" s="18" t="s">
        <v>191</v>
      </c>
      <c r="F340" s="109">
        <f>$D$154</f>
        <v>0.20300000000000001</v>
      </c>
      <c r="G340" s="18"/>
      <c r="H340" s="18"/>
      <c r="I340" s="18"/>
      <c r="J340" s="18"/>
      <c r="K340" s="18" t="s">
        <v>606</v>
      </c>
      <c r="L340" s="18" t="s">
        <v>607</v>
      </c>
      <c r="M340" s="18" t="s">
        <v>381</v>
      </c>
      <c r="N340" s="19" t="s">
        <v>495</v>
      </c>
      <c r="O340" s="1"/>
      <c r="P340" s="1"/>
      <c r="Q340" s="1"/>
    </row>
    <row r="341" spans="2:17" ht="30" customHeight="1">
      <c r="B341" s="1"/>
      <c r="C341" s="29" t="s">
        <v>608</v>
      </c>
      <c r="D341" s="18" t="s">
        <v>609</v>
      </c>
      <c r="E341" s="18" t="s">
        <v>191</v>
      </c>
      <c r="F341" s="109">
        <f>$D$155</f>
        <v>2.5000000000000001E-2</v>
      </c>
      <c r="G341" s="18"/>
      <c r="H341" s="18"/>
      <c r="I341" s="18"/>
      <c r="J341" s="18"/>
      <c r="K341" s="18" t="s">
        <v>610</v>
      </c>
      <c r="L341" s="18" t="s">
        <v>579</v>
      </c>
      <c r="M341" s="18" t="s">
        <v>568</v>
      </c>
      <c r="N341" s="19" t="s">
        <v>495</v>
      </c>
      <c r="O341" s="1"/>
      <c r="P341" s="1"/>
      <c r="Q341" s="1"/>
    </row>
    <row r="342" spans="2:17" ht="30" customHeight="1">
      <c r="B342" s="1"/>
      <c r="C342" s="29" t="s">
        <v>611</v>
      </c>
      <c r="D342" s="18" t="s">
        <v>612</v>
      </c>
      <c r="E342" s="18" t="s">
        <v>206</v>
      </c>
      <c r="F342" s="111">
        <f>$M$141</f>
        <v>0</v>
      </c>
      <c r="G342" s="18"/>
      <c r="H342" s="18"/>
      <c r="I342" s="18"/>
      <c r="J342" s="18"/>
      <c r="K342" s="18" t="s">
        <v>613</v>
      </c>
      <c r="L342" s="18" t="s">
        <v>614</v>
      </c>
      <c r="M342" s="18" t="s">
        <v>472</v>
      </c>
      <c r="N342" s="19" t="s">
        <v>495</v>
      </c>
      <c r="O342" s="1"/>
      <c r="P342" s="1"/>
      <c r="Q342" s="1"/>
    </row>
    <row r="343" spans="2:17" ht="30" customHeight="1">
      <c r="B343" s="1"/>
      <c r="C343" s="29" t="s">
        <v>615</v>
      </c>
      <c r="D343" s="18" t="s">
        <v>616</v>
      </c>
      <c r="E343" s="18" t="s">
        <v>191</v>
      </c>
      <c r="F343" s="109">
        <f>$M$142</f>
        <v>0.15</v>
      </c>
      <c r="G343" s="18"/>
      <c r="H343" s="18"/>
      <c r="I343" s="18"/>
      <c r="J343" s="18"/>
      <c r="K343" s="18" t="s">
        <v>617</v>
      </c>
      <c r="L343" s="18" t="s">
        <v>618</v>
      </c>
      <c r="M343" s="18" t="s">
        <v>619</v>
      </c>
      <c r="N343" s="19" t="s">
        <v>495</v>
      </c>
      <c r="O343" s="1"/>
      <c r="P343" s="1"/>
      <c r="Q343" s="1"/>
    </row>
    <row r="344" spans="2:17" ht="30" customHeight="1">
      <c r="B344" s="1"/>
      <c r="C344" s="29" t="s">
        <v>620</v>
      </c>
      <c r="D344" s="18" t="s">
        <v>231</v>
      </c>
      <c r="E344" s="18" t="s">
        <v>191</v>
      </c>
      <c r="F344" s="109">
        <f>$M$143</f>
        <v>0.5</v>
      </c>
      <c r="G344" s="18"/>
      <c r="H344" s="18"/>
      <c r="I344" s="18"/>
      <c r="J344" s="18"/>
      <c r="K344" s="18" t="s">
        <v>621</v>
      </c>
      <c r="L344" s="18" t="s">
        <v>622</v>
      </c>
      <c r="M344" s="18" t="s">
        <v>472</v>
      </c>
      <c r="N344" s="19" t="s">
        <v>495</v>
      </c>
      <c r="O344" s="1"/>
      <c r="P344" s="1"/>
      <c r="Q344" s="1"/>
    </row>
    <row r="345" spans="2:17" ht="30" customHeight="1">
      <c r="B345" s="1"/>
      <c r="C345" s="29" t="s">
        <v>623</v>
      </c>
      <c r="D345" s="18" t="s">
        <v>233</v>
      </c>
      <c r="E345" s="18" t="s">
        <v>191</v>
      </c>
      <c r="F345" s="109">
        <f>$M$144</f>
        <v>0.7</v>
      </c>
      <c r="G345" s="18"/>
      <c r="H345" s="18"/>
      <c r="I345" s="18"/>
      <c r="J345" s="18"/>
      <c r="K345" s="18" t="s">
        <v>624</v>
      </c>
      <c r="L345" s="18" t="s">
        <v>625</v>
      </c>
      <c r="M345" s="18" t="s">
        <v>472</v>
      </c>
      <c r="N345" s="19" t="s">
        <v>495</v>
      </c>
      <c r="O345" s="1"/>
      <c r="P345" s="1"/>
      <c r="Q345" s="1"/>
    </row>
    <row r="346" spans="2:17" ht="30" customHeight="1">
      <c r="B346" s="1"/>
      <c r="C346" s="29" t="s">
        <v>626</v>
      </c>
      <c r="D346" s="18" t="s">
        <v>235</v>
      </c>
      <c r="E346" s="18" t="s">
        <v>191</v>
      </c>
      <c r="F346" s="109">
        <f>$M$145</f>
        <v>0.3</v>
      </c>
      <c r="G346" s="18"/>
      <c r="H346" s="18"/>
      <c r="I346" s="18"/>
      <c r="J346" s="18"/>
      <c r="K346" s="18" t="s">
        <v>627</v>
      </c>
      <c r="L346" s="18" t="s">
        <v>628</v>
      </c>
      <c r="M346" s="18" t="s">
        <v>472</v>
      </c>
      <c r="N346" s="19" t="s">
        <v>495</v>
      </c>
      <c r="O346" s="1"/>
      <c r="P346" s="1"/>
      <c r="Q346" s="1"/>
    </row>
    <row r="347" spans="2:17" ht="30" customHeight="1">
      <c r="B347" s="1"/>
      <c r="C347" s="29" t="s">
        <v>629</v>
      </c>
      <c r="D347" s="18" t="s">
        <v>237</v>
      </c>
      <c r="E347" s="18" t="s">
        <v>191</v>
      </c>
      <c r="F347" s="109">
        <f>$M$146</f>
        <v>0</v>
      </c>
      <c r="G347" s="18"/>
      <c r="H347" s="18"/>
      <c r="I347" s="18"/>
      <c r="J347" s="18"/>
      <c r="K347" s="18" t="s">
        <v>630</v>
      </c>
      <c r="L347" s="18" t="s">
        <v>631</v>
      </c>
      <c r="M347" s="18" t="s">
        <v>632</v>
      </c>
      <c r="N347" s="19" t="s">
        <v>495</v>
      </c>
      <c r="O347" s="1"/>
      <c r="P347" s="1"/>
      <c r="Q347" s="1"/>
    </row>
    <row r="348" spans="2:17" ht="30" customHeight="1">
      <c r="B348" s="1"/>
      <c r="C348" s="29" t="s">
        <v>633</v>
      </c>
      <c r="D348" s="18" t="s">
        <v>239</v>
      </c>
      <c r="E348" s="18" t="s">
        <v>191</v>
      </c>
      <c r="F348" s="109">
        <f>$M$147</f>
        <v>0.05</v>
      </c>
      <c r="G348" s="18"/>
      <c r="H348" s="18"/>
      <c r="I348" s="18"/>
      <c r="J348" s="18"/>
      <c r="K348" s="18" t="s">
        <v>634</v>
      </c>
      <c r="L348" s="18" t="s">
        <v>635</v>
      </c>
      <c r="M348" s="18" t="s">
        <v>472</v>
      </c>
      <c r="N348" s="19" t="s">
        <v>495</v>
      </c>
      <c r="O348" s="1"/>
      <c r="P348" s="1"/>
      <c r="Q348" s="1"/>
    </row>
    <row r="349" spans="2:17" ht="30" customHeight="1">
      <c r="B349" s="1"/>
      <c r="C349" s="29" t="s">
        <v>636</v>
      </c>
      <c r="D349" s="18" t="s">
        <v>637</v>
      </c>
      <c r="E349" s="18" t="s">
        <v>274</v>
      </c>
      <c r="F349" s="114">
        <f>$M$148</f>
        <v>3</v>
      </c>
      <c r="G349" s="18"/>
      <c r="H349" s="18"/>
      <c r="I349" s="18"/>
      <c r="J349" s="18"/>
      <c r="K349" s="18" t="s">
        <v>638</v>
      </c>
      <c r="L349" s="18" t="s">
        <v>639</v>
      </c>
      <c r="M349" s="18" t="s">
        <v>472</v>
      </c>
      <c r="N349" s="19" t="s">
        <v>495</v>
      </c>
      <c r="O349" s="1"/>
      <c r="P349" s="1"/>
      <c r="Q349" s="1"/>
    </row>
    <row r="350" spans="2:17" ht="30" customHeight="1">
      <c r="B350" s="1"/>
      <c r="C350" s="29" t="s">
        <v>640</v>
      </c>
      <c r="D350" s="18" t="s">
        <v>243</v>
      </c>
      <c r="E350" s="18" t="s">
        <v>206</v>
      </c>
      <c r="F350" s="111">
        <f>$M$149</f>
        <v>0</v>
      </c>
      <c r="G350" s="18"/>
      <c r="H350" s="18"/>
      <c r="I350" s="18"/>
      <c r="J350" s="18"/>
      <c r="K350" s="18" t="s">
        <v>641</v>
      </c>
      <c r="L350" s="18" t="s">
        <v>642</v>
      </c>
      <c r="M350" s="18" t="s">
        <v>472</v>
      </c>
      <c r="N350" s="19" t="s">
        <v>495</v>
      </c>
      <c r="O350" s="1"/>
      <c r="P350" s="1"/>
      <c r="Q350" s="1"/>
    </row>
    <row r="351" spans="2:17" ht="30" customHeight="1">
      <c r="B351" s="1"/>
      <c r="C351" s="29" t="s">
        <v>643</v>
      </c>
      <c r="D351" s="18" t="s">
        <v>245</v>
      </c>
      <c r="E351" s="18" t="s">
        <v>191</v>
      </c>
      <c r="F351" s="109">
        <f>$M$150</f>
        <v>0.15</v>
      </c>
      <c r="G351" s="18"/>
      <c r="H351" s="18"/>
      <c r="I351" s="18"/>
      <c r="J351" s="18"/>
      <c r="K351" s="18" t="s">
        <v>644</v>
      </c>
      <c r="L351" s="18" t="s">
        <v>618</v>
      </c>
      <c r="M351" s="18" t="s">
        <v>472</v>
      </c>
      <c r="N351" s="19" t="s">
        <v>495</v>
      </c>
      <c r="O351" s="1"/>
      <c r="P351" s="1"/>
      <c r="Q351" s="1"/>
    </row>
    <row r="352" spans="2:17" ht="30" customHeight="1">
      <c r="B352" s="1"/>
      <c r="C352" s="29" t="s">
        <v>645</v>
      </c>
      <c r="D352" s="18" t="s">
        <v>247</v>
      </c>
      <c r="E352" s="18" t="s">
        <v>191</v>
      </c>
      <c r="F352" s="109">
        <f>$M$151</f>
        <v>0.21</v>
      </c>
      <c r="G352" s="18"/>
      <c r="H352" s="18"/>
      <c r="I352" s="18"/>
      <c r="J352" s="18"/>
      <c r="K352" s="18" t="s">
        <v>646</v>
      </c>
      <c r="L352" s="18" t="s">
        <v>647</v>
      </c>
      <c r="M352" s="18" t="s">
        <v>619</v>
      </c>
      <c r="N352" s="19" t="s">
        <v>495</v>
      </c>
      <c r="O352" s="1"/>
      <c r="P352" s="1"/>
      <c r="Q352" s="1"/>
    </row>
    <row r="353" spans="2:17" ht="30" customHeight="1">
      <c r="B353" s="1"/>
      <c r="C353" s="29" t="s">
        <v>648</v>
      </c>
      <c r="D353" s="18" t="s">
        <v>249</v>
      </c>
      <c r="E353" s="18" t="s">
        <v>561</v>
      </c>
      <c r="F353" s="112">
        <f>$M$152</f>
        <v>1.1000000000000001</v>
      </c>
      <c r="G353" s="18"/>
      <c r="H353" s="18"/>
      <c r="I353" s="18"/>
      <c r="J353" s="18"/>
      <c r="K353" s="18" t="s">
        <v>649</v>
      </c>
      <c r="L353" s="18" t="s">
        <v>650</v>
      </c>
      <c r="M353" s="18" t="s">
        <v>472</v>
      </c>
      <c r="N353" s="19" t="s">
        <v>495</v>
      </c>
      <c r="O353" s="1"/>
      <c r="P353" s="1"/>
      <c r="Q353" s="1"/>
    </row>
    <row r="354" spans="2:17" ht="30" customHeight="1">
      <c r="B354" s="1"/>
      <c r="C354" s="29" t="s">
        <v>651</v>
      </c>
      <c r="D354" s="18" t="s">
        <v>251</v>
      </c>
      <c r="E354" s="18" t="s">
        <v>191</v>
      </c>
      <c r="F354" s="109">
        <f>$M$153</f>
        <v>-3.3333000000000002E-2</v>
      </c>
      <c r="G354" s="18"/>
      <c r="H354" s="18"/>
      <c r="I354" s="18"/>
      <c r="J354" s="18"/>
      <c r="K354" s="18" t="s">
        <v>652</v>
      </c>
      <c r="L354" s="18" t="s">
        <v>653</v>
      </c>
      <c r="M354" s="18" t="s">
        <v>619</v>
      </c>
      <c r="N354" s="19" t="s">
        <v>495</v>
      </c>
      <c r="O354" s="1"/>
      <c r="P354" s="1"/>
      <c r="Q354" s="1"/>
    </row>
    <row r="355" spans="2:17" ht="30" customHeight="1">
      <c r="B355" s="1"/>
      <c r="C355" s="30" t="s">
        <v>654</v>
      </c>
      <c r="D355" s="22" t="s">
        <v>419</v>
      </c>
      <c r="E355" s="22" t="s">
        <v>274</v>
      </c>
      <c r="F355" s="115">
        <f>$M$154</f>
        <v>1517.499</v>
      </c>
      <c r="G355" s="22"/>
      <c r="H355" s="22"/>
      <c r="I355" s="22"/>
      <c r="J355" s="22"/>
      <c r="K355" s="22" t="s">
        <v>655</v>
      </c>
      <c r="L355" s="22" t="s">
        <v>656</v>
      </c>
      <c r="M355" s="22" t="s">
        <v>418</v>
      </c>
      <c r="N355" s="23" t="s">
        <v>495</v>
      </c>
      <c r="O355" s="1"/>
      <c r="P355" s="1"/>
      <c r="Q355" s="1"/>
    </row>
    <row r="356" spans="2:17">
      <c r="B356" s="1"/>
      <c r="C356" s="1"/>
      <c r="D356" s="1"/>
      <c r="E356" s="1"/>
      <c r="F356" s="1"/>
      <c r="G356" s="1"/>
      <c r="H356" s="1"/>
      <c r="I356" s="1"/>
      <c r="J356" s="1"/>
      <c r="K356" s="1"/>
      <c r="L356" s="1"/>
      <c r="M356" s="1"/>
      <c r="N356" s="1"/>
      <c r="O356" s="1"/>
      <c r="P356" s="1"/>
      <c r="Q356" s="1"/>
    </row>
    <row r="357" spans="2:17">
      <c r="B357" s="1"/>
      <c r="C357" s="1"/>
      <c r="D357" s="1"/>
      <c r="E357" s="1"/>
      <c r="F357" s="1"/>
      <c r="G357" s="1"/>
      <c r="H357" s="1"/>
      <c r="I357" s="1"/>
      <c r="J357" s="1"/>
      <c r="K357" s="1"/>
      <c r="L357" s="1"/>
      <c r="M357" s="1"/>
      <c r="N357" s="1"/>
      <c r="O357" s="1"/>
      <c r="P357" s="1"/>
      <c r="Q357" s="1"/>
    </row>
    <row r="358" spans="2:17" ht="21" customHeight="1">
      <c r="B358" s="177" t="s">
        <v>657</v>
      </c>
      <c r="C358" s="177"/>
      <c r="D358" s="177"/>
      <c r="E358" s="177"/>
      <c r="F358" s="177"/>
      <c r="G358" s="177"/>
      <c r="H358" s="177"/>
      <c r="I358" s="177"/>
      <c r="J358" s="177"/>
      <c r="K358" s="177"/>
      <c r="L358" s="177"/>
      <c r="M358" s="177"/>
      <c r="N358" s="177"/>
      <c r="O358" s="177"/>
      <c r="P358" s="177"/>
      <c r="Q358" s="177"/>
    </row>
    <row r="359" spans="2:17">
      <c r="B359" s="1"/>
      <c r="C359" s="1"/>
      <c r="D359" s="1"/>
      <c r="E359" s="1"/>
      <c r="F359" s="1"/>
      <c r="G359" s="1"/>
      <c r="H359" s="1"/>
      <c r="I359" s="1"/>
      <c r="J359" s="1"/>
      <c r="K359" s="1"/>
      <c r="L359" s="1"/>
      <c r="M359" s="1"/>
      <c r="N359" s="1"/>
      <c r="O359" s="1"/>
      <c r="P359" s="1"/>
      <c r="Q359" s="1"/>
    </row>
    <row r="360" spans="2:17" ht="26">
      <c r="B360" s="1"/>
      <c r="C360" s="82" t="s">
        <v>658</v>
      </c>
      <c r="D360" s="82" t="s">
        <v>659</v>
      </c>
      <c r="E360" s="82" t="s">
        <v>660</v>
      </c>
      <c r="F360" s="82" t="s">
        <v>107</v>
      </c>
      <c r="G360" s="82" t="s">
        <v>661</v>
      </c>
      <c r="H360" s="82" t="s">
        <v>662</v>
      </c>
      <c r="I360" s="82" t="s">
        <v>663</v>
      </c>
      <c r="J360" s="82" t="s">
        <v>664</v>
      </c>
      <c r="K360" s="82" t="s">
        <v>260</v>
      </c>
      <c r="L360" s="82" t="s">
        <v>665</v>
      </c>
      <c r="M360" s="82"/>
      <c r="N360" s="82"/>
      <c r="O360" s="1"/>
      <c r="P360" s="1"/>
      <c r="Q360" s="1"/>
    </row>
    <row r="361" spans="2:17" ht="30" customHeight="1">
      <c r="B361" s="1"/>
      <c r="C361" s="28" t="s">
        <v>666</v>
      </c>
      <c r="D361" s="14" t="s">
        <v>667</v>
      </c>
      <c r="E361" s="116">
        <v>9400</v>
      </c>
      <c r="F361" s="116">
        <v>8969</v>
      </c>
      <c r="G361" s="117">
        <f>E361/F361</f>
        <v>1.048054409633181</v>
      </c>
      <c r="H361" s="116"/>
      <c r="I361" s="117" t="str">
        <f>"N/M"</f>
        <v>N/M</v>
      </c>
      <c r="J361" s="118">
        <v>0.3</v>
      </c>
      <c r="K361" s="14" t="s">
        <v>444</v>
      </c>
      <c r="L361" s="178" t="s">
        <v>668</v>
      </c>
      <c r="M361" s="178"/>
      <c r="N361" s="179"/>
      <c r="O361" s="1"/>
      <c r="P361" s="1"/>
      <c r="Q361" s="1"/>
    </row>
    <row r="362" spans="2:17" ht="30" customHeight="1">
      <c r="B362" s="1"/>
      <c r="C362" s="29" t="s">
        <v>669</v>
      </c>
      <c r="D362" s="18" t="s">
        <v>670</v>
      </c>
      <c r="E362" s="119">
        <v>2500</v>
      </c>
      <c r="F362" s="119">
        <v>570</v>
      </c>
      <c r="G362" s="112">
        <f>E362/F362</f>
        <v>4.3859649122807021</v>
      </c>
      <c r="H362" s="119">
        <v>193</v>
      </c>
      <c r="I362" s="112">
        <f>E362/H362</f>
        <v>12.953367875647668</v>
      </c>
      <c r="J362" s="120" t="s">
        <v>671</v>
      </c>
      <c r="K362" s="18" t="s">
        <v>450</v>
      </c>
      <c r="L362" s="180" t="s">
        <v>672</v>
      </c>
      <c r="M362" s="180"/>
      <c r="N362" s="181"/>
      <c r="O362" s="1"/>
      <c r="P362" s="1"/>
      <c r="Q362" s="1"/>
    </row>
    <row r="363" spans="2:17" ht="30" customHeight="1">
      <c r="B363" s="1"/>
      <c r="C363" s="29" t="s">
        <v>673</v>
      </c>
      <c r="D363" s="18" t="s">
        <v>674</v>
      </c>
      <c r="E363" s="119">
        <v>2100</v>
      </c>
      <c r="F363" s="119">
        <v>1409</v>
      </c>
      <c r="G363" s="112">
        <f>E363/F363</f>
        <v>1.4904187366926898</v>
      </c>
      <c r="H363" s="119"/>
      <c r="I363" s="112" t="str">
        <f>"N/M"</f>
        <v>N/M</v>
      </c>
      <c r="J363" s="120" t="s">
        <v>671</v>
      </c>
      <c r="K363" s="18" t="s">
        <v>456</v>
      </c>
      <c r="L363" s="180" t="s">
        <v>675</v>
      </c>
      <c r="M363" s="180"/>
      <c r="N363" s="181"/>
      <c r="O363" s="1"/>
      <c r="P363" s="1"/>
      <c r="Q363" s="1"/>
    </row>
    <row r="364" spans="2:17" ht="30" customHeight="1">
      <c r="B364" s="1"/>
      <c r="C364" s="29" t="s">
        <v>676</v>
      </c>
      <c r="D364" s="18" t="s">
        <v>677</v>
      </c>
      <c r="E364" s="119">
        <v>2100</v>
      </c>
      <c r="F364" s="119">
        <v>500</v>
      </c>
      <c r="G364" s="112">
        <f>E364/F364</f>
        <v>4.2</v>
      </c>
      <c r="H364" s="119"/>
      <c r="I364" s="112" t="str">
        <f>"N/M"</f>
        <v>N/M</v>
      </c>
      <c r="J364" s="120" t="s">
        <v>671</v>
      </c>
      <c r="K364" s="18" t="s">
        <v>461</v>
      </c>
      <c r="L364" s="180" t="s">
        <v>678</v>
      </c>
      <c r="M364" s="180"/>
      <c r="N364" s="181"/>
      <c r="O364" s="1"/>
      <c r="P364" s="1"/>
      <c r="Q364" s="1"/>
    </row>
    <row r="365" spans="2:17" ht="30" customHeight="1">
      <c r="B365" s="1"/>
      <c r="C365" s="29" t="s">
        <v>679</v>
      </c>
      <c r="D365" s="18" t="s">
        <v>680</v>
      </c>
      <c r="E365" s="119">
        <v>2000</v>
      </c>
      <c r="F365" s="119">
        <v>1600</v>
      </c>
      <c r="G365" s="112">
        <f>E365/F365</f>
        <v>1.25</v>
      </c>
      <c r="H365" s="119"/>
      <c r="I365" s="112" t="str">
        <f>"N/M"</f>
        <v>N/M</v>
      </c>
      <c r="J365" s="120" t="s">
        <v>671</v>
      </c>
      <c r="K365" s="18" t="s">
        <v>467</v>
      </c>
      <c r="L365" s="180" t="s">
        <v>681</v>
      </c>
      <c r="M365" s="180"/>
      <c r="N365" s="181"/>
      <c r="O365" s="1"/>
      <c r="P365" s="1"/>
      <c r="Q365" s="1"/>
    </row>
    <row r="366" spans="2:17" ht="30" customHeight="1">
      <c r="B366" s="1"/>
      <c r="C366" s="29"/>
      <c r="D366" s="18"/>
      <c r="E366" s="18"/>
      <c r="F366" s="18"/>
      <c r="G366" s="112"/>
      <c r="H366" s="18"/>
      <c r="I366" s="18"/>
      <c r="J366" s="18"/>
      <c r="K366" s="18"/>
      <c r="L366" s="18"/>
      <c r="M366" s="18"/>
      <c r="N366" s="19"/>
      <c r="O366" s="1"/>
      <c r="P366" s="1"/>
      <c r="Q366" s="1"/>
    </row>
    <row r="367" spans="2:17" ht="30" customHeight="1">
      <c r="B367" s="1"/>
      <c r="C367" s="255" t="s">
        <v>682</v>
      </c>
      <c r="D367" s="180"/>
      <c r="E367" s="180"/>
      <c r="F367" s="180"/>
      <c r="G367" s="112">
        <f>MEDIAN(G361:G365)</f>
        <v>1.4904187366926898</v>
      </c>
      <c r="H367" s="18"/>
      <c r="I367" s="18"/>
      <c r="J367" s="18"/>
      <c r="K367" s="18"/>
      <c r="L367" s="18"/>
      <c r="M367" s="18"/>
      <c r="N367" s="19"/>
      <c r="O367" s="1"/>
      <c r="P367" s="1"/>
      <c r="Q367" s="1"/>
    </row>
    <row r="368" spans="2:17" ht="30" customHeight="1">
      <c r="B368" s="1"/>
      <c r="C368" s="255" t="s">
        <v>683</v>
      </c>
      <c r="D368" s="180"/>
      <c r="E368" s="180"/>
      <c r="F368" s="180"/>
      <c r="G368" s="112">
        <f>SMALL(G361:G365,2)</f>
        <v>1.25</v>
      </c>
      <c r="H368" s="18"/>
      <c r="I368" s="18"/>
      <c r="J368" s="18"/>
      <c r="K368" s="18"/>
      <c r="L368" s="18"/>
      <c r="M368" s="18"/>
      <c r="N368" s="19"/>
      <c r="O368" s="1"/>
      <c r="P368" s="1"/>
      <c r="Q368" s="1"/>
    </row>
    <row r="369" spans="2:17" ht="30" customHeight="1">
      <c r="B369" s="1"/>
      <c r="C369" s="256" t="s">
        <v>684</v>
      </c>
      <c r="D369" s="182"/>
      <c r="E369" s="182"/>
      <c r="F369" s="182"/>
      <c r="G369" s="121">
        <f>LARGE(G361:G365,2)</f>
        <v>4.2</v>
      </c>
      <c r="H369" s="22"/>
      <c r="I369" s="22"/>
      <c r="J369" s="22"/>
      <c r="K369" s="22"/>
      <c r="L369" s="22"/>
      <c r="M369" s="22"/>
      <c r="N369" s="23"/>
      <c r="O369" s="1"/>
      <c r="P369" s="1"/>
      <c r="Q369" s="1"/>
    </row>
    <row r="370" spans="2:17">
      <c r="B370" s="1"/>
      <c r="C370" s="1"/>
      <c r="D370" s="1"/>
      <c r="E370" s="1"/>
      <c r="F370" s="1"/>
      <c r="G370" s="1"/>
      <c r="H370" s="1"/>
      <c r="I370" s="1"/>
      <c r="J370" s="1"/>
      <c r="K370" s="1"/>
      <c r="L370" s="1"/>
      <c r="M370" s="1"/>
      <c r="N370" s="1"/>
      <c r="O370" s="1"/>
      <c r="P370" s="1"/>
      <c r="Q370" s="1"/>
    </row>
    <row r="371" spans="2:17">
      <c r="B371" s="1"/>
      <c r="C371" s="1"/>
      <c r="D371" s="1"/>
      <c r="E371" s="1"/>
      <c r="F371" s="1"/>
      <c r="G371" s="1"/>
      <c r="H371" s="1"/>
      <c r="I371" s="1"/>
      <c r="J371" s="1"/>
      <c r="K371" s="1"/>
      <c r="L371" s="1"/>
      <c r="M371" s="1"/>
      <c r="N371" s="1"/>
      <c r="O371" s="1"/>
      <c r="P371" s="1"/>
      <c r="Q371" s="1"/>
    </row>
    <row r="372" spans="2:17">
      <c r="B372" s="1"/>
      <c r="C372" s="1"/>
      <c r="D372" s="1"/>
      <c r="E372" s="1"/>
      <c r="F372" s="1"/>
      <c r="G372" s="1"/>
      <c r="H372" s="1"/>
      <c r="I372" s="1"/>
      <c r="J372" s="1"/>
      <c r="K372" s="1"/>
      <c r="L372" s="1"/>
      <c r="M372" s="1"/>
      <c r="N372" s="1"/>
      <c r="O372" s="1"/>
      <c r="P372" s="1"/>
      <c r="Q372" s="1"/>
    </row>
    <row r="373" spans="2:17">
      <c r="B373" s="1"/>
      <c r="C373" s="1"/>
      <c r="D373" s="1"/>
      <c r="E373" s="1"/>
      <c r="F373" s="1"/>
      <c r="G373" s="1"/>
      <c r="H373" s="1"/>
      <c r="I373" s="1"/>
      <c r="J373" s="1"/>
      <c r="K373" s="1"/>
      <c r="L373" s="1"/>
      <c r="M373" s="1"/>
      <c r="N373" s="1"/>
      <c r="O373" s="1"/>
      <c r="P373" s="1"/>
      <c r="Q373" s="1"/>
    </row>
    <row r="374" spans="2:17">
      <c r="B374" s="1"/>
      <c r="C374" s="1"/>
      <c r="D374" s="1"/>
      <c r="E374" s="1"/>
      <c r="F374" s="1"/>
      <c r="G374" s="1"/>
      <c r="H374" s="1"/>
      <c r="I374" s="1"/>
      <c r="J374" s="1"/>
      <c r="K374" s="1"/>
      <c r="L374" s="1"/>
      <c r="M374" s="1"/>
      <c r="N374" s="1"/>
      <c r="O374" s="1"/>
      <c r="P374" s="1"/>
      <c r="Q374" s="1"/>
    </row>
    <row r="375" spans="2:17">
      <c r="B375" s="1"/>
      <c r="C375" s="1"/>
      <c r="D375" s="1"/>
      <c r="E375" s="1"/>
      <c r="F375" s="1"/>
      <c r="G375" s="1"/>
      <c r="H375" s="1"/>
      <c r="I375" s="1"/>
      <c r="J375" s="1"/>
      <c r="K375" s="1"/>
      <c r="L375" s="1"/>
      <c r="M375" s="1"/>
      <c r="N375" s="1"/>
      <c r="O375" s="1"/>
      <c r="P375" s="1"/>
      <c r="Q375" s="1"/>
    </row>
    <row r="376" spans="2:17">
      <c r="B376" s="1"/>
      <c r="C376" s="1"/>
      <c r="D376" s="1"/>
      <c r="E376" s="1"/>
      <c r="F376" s="1"/>
      <c r="G376" s="1"/>
      <c r="H376" s="1"/>
      <c r="I376" s="1"/>
      <c r="J376" s="1"/>
      <c r="K376" s="1"/>
      <c r="L376" s="1"/>
      <c r="M376" s="1"/>
      <c r="N376" s="1"/>
      <c r="O376" s="1"/>
      <c r="P376" s="1"/>
      <c r="Q376" s="1"/>
    </row>
    <row r="377" spans="2:17">
      <c r="B377" s="1"/>
      <c r="C377" s="1"/>
      <c r="D377" s="1"/>
      <c r="E377" s="1"/>
      <c r="F377" s="1"/>
      <c r="G377" s="1"/>
      <c r="H377" s="1"/>
      <c r="I377" s="1"/>
      <c r="J377" s="1"/>
      <c r="K377" s="1"/>
      <c r="L377" s="1"/>
      <c r="M377" s="1"/>
      <c r="N377" s="1"/>
      <c r="O377" s="1"/>
      <c r="P377" s="1"/>
      <c r="Q377" s="1"/>
    </row>
    <row r="378" spans="2:17">
      <c r="B378" s="1"/>
      <c r="C378" s="1"/>
      <c r="D378" s="1"/>
      <c r="E378" s="1"/>
      <c r="F378" s="1"/>
      <c r="G378" s="1"/>
      <c r="H378" s="1"/>
      <c r="I378" s="1"/>
      <c r="J378" s="1"/>
      <c r="K378" s="1"/>
      <c r="L378" s="1"/>
      <c r="M378" s="1"/>
      <c r="N378" s="1"/>
      <c r="O378" s="1"/>
      <c r="P378" s="1"/>
      <c r="Q378" s="1"/>
    </row>
    <row r="379" spans="2:17">
      <c r="B379" s="1"/>
      <c r="C379" s="1"/>
      <c r="D379" s="1"/>
      <c r="E379" s="1"/>
      <c r="F379" s="1"/>
      <c r="G379" s="1"/>
      <c r="H379" s="1"/>
      <c r="I379" s="1"/>
      <c r="J379" s="1"/>
      <c r="K379" s="1"/>
      <c r="L379" s="1"/>
      <c r="M379" s="1"/>
      <c r="N379" s="1"/>
      <c r="O379" s="1"/>
      <c r="P379" s="1"/>
      <c r="Q379" s="1"/>
    </row>
    <row r="380" spans="2:17">
      <c r="B380" s="1"/>
      <c r="C380" s="1"/>
      <c r="D380" s="1"/>
      <c r="E380" s="1"/>
      <c r="F380" s="1"/>
      <c r="G380" s="1"/>
      <c r="H380" s="1"/>
      <c r="I380" s="1"/>
      <c r="J380" s="1"/>
      <c r="K380" s="1"/>
      <c r="L380" s="1"/>
      <c r="M380" s="1"/>
      <c r="N380" s="1"/>
      <c r="O380" s="1"/>
      <c r="P380" s="1"/>
      <c r="Q380" s="1"/>
    </row>
    <row r="381" spans="2:17">
      <c r="B381" s="1"/>
      <c r="C381" s="1"/>
      <c r="D381" s="1"/>
      <c r="E381" s="1"/>
      <c r="F381" s="1"/>
      <c r="G381" s="1"/>
      <c r="H381" s="1"/>
      <c r="I381" s="1"/>
      <c r="J381" s="1"/>
      <c r="K381" s="1"/>
      <c r="L381" s="1"/>
      <c r="M381" s="1"/>
      <c r="N381" s="1"/>
      <c r="O381" s="1"/>
      <c r="P381" s="1"/>
      <c r="Q381" s="1"/>
    </row>
    <row r="382" spans="2:17">
      <c r="B382" s="1"/>
      <c r="C382" s="1"/>
      <c r="D382" s="1"/>
      <c r="E382" s="1"/>
      <c r="F382" s="1"/>
      <c r="G382" s="1"/>
      <c r="H382" s="1"/>
      <c r="I382" s="1"/>
      <c r="J382" s="1"/>
      <c r="K382" s="1"/>
      <c r="L382" s="1"/>
      <c r="M382" s="1"/>
      <c r="N382" s="1"/>
      <c r="O382" s="1"/>
      <c r="P382" s="1"/>
      <c r="Q382" s="1"/>
    </row>
    <row r="383" spans="2:17">
      <c r="B383" s="1"/>
      <c r="C383" s="1"/>
      <c r="D383" s="1"/>
      <c r="E383" s="1"/>
      <c r="F383" s="1"/>
      <c r="G383" s="1"/>
      <c r="H383" s="1"/>
      <c r="I383" s="1"/>
      <c r="J383" s="1"/>
      <c r="K383" s="1"/>
      <c r="L383" s="1"/>
      <c r="M383" s="1"/>
      <c r="N383" s="1"/>
      <c r="O383" s="1"/>
      <c r="P383" s="1"/>
      <c r="Q383" s="1"/>
    </row>
    <row r="384" spans="2:17">
      <c r="B384" s="1"/>
      <c r="C384" s="1"/>
      <c r="D384" s="1"/>
      <c r="E384" s="1"/>
      <c r="F384" s="1"/>
      <c r="G384" s="1"/>
      <c r="H384" s="1"/>
      <c r="I384" s="1"/>
      <c r="J384" s="1"/>
      <c r="K384" s="1"/>
      <c r="L384" s="1"/>
      <c r="M384" s="1"/>
      <c r="N384" s="1"/>
      <c r="O384" s="1"/>
      <c r="P384" s="1"/>
      <c r="Q384" s="1"/>
    </row>
    <row r="385" spans="2:17">
      <c r="B385" s="1"/>
      <c r="C385" s="1"/>
      <c r="D385" s="1"/>
      <c r="E385" s="1"/>
      <c r="F385" s="1"/>
      <c r="G385" s="1"/>
      <c r="H385" s="1"/>
      <c r="I385" s="1"/>
      <c r="J385" s="1"/>
      <c r="K385" s="1"/>
      <c r="L385" s="1"/>
      <c r="M385" s="1"/>
      <c r="N385" s="1"/>
      <c r="O385" s="1"/>
      <c r="P385" s="1"/>
      <c r="Q385" s="1"/>
    </row>
    <row r="386" spans="2:17">
      <c r="B386" s="1"/>
      <c r="C386" s="1"/>
      <c r="D386" s="1"/>
      <c r="E386" s="1"/>
      <c r="F386" s="1"/>
      <c r="G386" s="1"/>
      <c r="H386" s="1"/>
      <c r="I386" s="1"/>
      <c r="J386" s="1"/>
      <c r="K386" s="1"/>
      <c r="L386" s="1"/>
      <c r="M386" s="1"/>
      <c r="N386" s="1"/>
      <c r="O386" s="1"/>
      <c r="P386" s="1"/>
      <c r="Q386" s="1"/>
    </row>
    <row r="387" spans="2:17">
      <c r="B387" s="1"/>
      <c r="C387" s="1"/>
      <c r="D387" s="1"/>
      <c r="E387" s="1"/>
      <c r="F387" s="1"/>
      <c r="G387" s="1"/>
      <c r="H387" s="1"/>
      <c r="I387" s="1"/>
      <c r="J387" s="1"/>
      <c r="K387" s="1"/>
      <c r="L387" s="1"/>
      <c r="M387" s="1"/>
      <c r="N387" s="1"/>
      <c r="O387" s="1"/>
      <c r="P387" s="1"/>
      <c r="Q387" s="1"/>
    </row>
    <row r="388" spans="2:17">
      <c r="B388" s="1"/>
      <c r="C388" s="1"/>
      <c r="D388" s="1"/>
      <c r="E388" s="1"/>
      <c r="F388" s="1"/>
      <c r="G388" s="1"/>
      <c r="H388" s="1"/>
      <c r="I388" s="1"/>
      <c r="J388" s="1"/>
      <c r="K388" s="1"/>
      <c r="L388" s="1"/>
      <c r="M388" s="1"/>
      <c r="N388" s="1"/>
      <c r="O388" s="1"/>
      <c r="P388" s="1"/>
      <c r="Q388" s="1"/>
    </row>
    <row r="389" spans="2:17">
      <c r="B389" s="1"/>
      <c r="C389" s="1"/>
      <c r="D389" s="1"/>
      <c r="E389" s="1"/>
      <c r="F389" s="1"/>
      <c r="G389" s="1"/>
      <c r="H389" s="1"/>
      <c r="I389" s="1"/>
      <c r="J389" s="1"/>
      <c r="K389" s="1"/>
      <c r="L389" s="1"/>
      <c r="M389" s="1"/>
      <c r="N389" s="1"/>
      <c r="O389" s="1"/>
      <c r="P389" s="1"/>
      <c r="Q389" s="1"/>
    </row>
    <row r="390" spans="2:17">
      <c r="B390" s="1"/>
      <c r="C390" s="1"/>
      <c r="D390" s="1"/>
      <c r="E390" s="1"/>
      <c r="F390" s="1"/>
      <c r="G390" s="1"/>
      <c r="H390" s="1"/>
      <c r="I390" s="1"/>
      <c r="J390" s="1"/>
      <c r="K390" s="1"/>
      <c r="L390" s="1"/>
      <c r="M390" s="1"/>
      <c r="N390" s="1"/>
      <c r="O390" s="1"/>
      <c r="P390" s="1"/>
      <c r="Q390" s="1"/>
    </row>
    <row r="391" spans="2:17">
      <c r="B391" s="1"/>
      <c r="C391" s="1"/>
      <c r="D391" s="1"/>
      <c r="E391" s="1"/>
      <c r="F391" s="1"/>
      <c r="G391" s="1"/>
      <c r="H391" s="1"/>
      <c r="I391" s="1"/>
      <c r="J391" s="1"/>
      <c r="K391" s="1"/>
      <c r="L391" s="1"/>
      <c r="M391" s="1"/>
      <c r="N391" s="1"/>
      <c r="O391" s="1"/>
      <c r="P391" s="1"/>
      <c r="Q391" s="1"/>
    </row>
    <row r="392" spans="2:17">
      <c r="B392" s="1"/>
      <c r="C392" s="1"/>
      <c r="D392" s="1"/>
      <c r="E392" s="1"/>
      <c r="F392" s="1"/>
      <c r="G392" s="1"/>
      <c r="H392" s="1"/>
      <c r="I392" s="1"/>
      <c r="J392" s="1"/>
      <c r="K392" s="1"/>
      <c r="L392" s="1"/>
      <c r="M392" s="1"/>
      <c r="N392" s="1"/>
      <c r="O392" s="1"/>
      <c r="P392" s="1"/>
      <c r="Q392" s="1"/>
    </row>
    <row r="393" spans="2:17">
      <c r="B393" s="1"/>
      <c r="C393" s="1"/>
      <c r="D393" s="1"/>
      <c r="E393" s="1"/>
      <c r="F393" s="1"/>
      <c r="G393" s="1"/>
      <c r="H393" s="1"/>
      <c r="I393" s="1"/>
      <c r="J393" s="1"/>
      <c r="K393" s="1"/>
      <c r="L393" s="1"/>
      <c r="M393" s="1"/>
      <c r="N393" s="1"/>
      <c r="O393" s="1"/>
      <c r="P393" s="1"/>
      <c r="Q393" s="1"/>
    </row>
    <row r="394" spans="2:17">
      <c r="B394" s="1"/>
      <c r="C394" s="1"/>
      <c r="D394" s="1"/>
      <c r="E394" s="1"/>
      <c r="F394" s="1"/>
      <c r="G394" s="1"/>
      <c r="H394" s="1"/>
      <c r="I394" s="1"/>
      <c r="J394" s="1"/>
      <c r="K394" s="1"/>
      <c r="L394" s="1"/>
      <c r="M394" s="1"/>
      <c r="N394" s="1"/>
      <c r="O394" s="1"/>
      <c r="P394" s="1"/>
      <c r="Q394" s="1"/>
    </row>
    <row r="395" spans="2:17">
      <c r="B395" s="1"/>
      <c r="C395" s="1"/>
      <c r="D395" s="1"/>
      <c r="E395" s="1"/>
      <c r="F395" s="1"/>
      <c r="G395" s="1"/>
      <c r="H395" s="1"/>
      <c r="I395" s="1"/>
      <c r="J395" s="1"/>
      <c r="K395" s="1"/>
      <c r="L395" s="1"/>
      <c r="M395" s="1"/>
      <c r="N395" s="1"/>
      <c r="O395" s="1"/>
      <c r="P395" s="1"/>
      <c r="Q395" s="1"/>
    </row>
    <row r="396" spans="2:17">
      <c r="B396" s="1"/>
      <c r="C396" s="1"/>
      <c r="D396" s="1"/>
      <c r="E396" s="1"/>
      <c r="F396" s="1"/>
      <c r="G396" s="1"/>
      <c r="H396" s="1"/>
      <c r="I396" s="1"/>
      <c r="J396" s="1"/>
      <c r="K396" s="1"/>
      <c r="L396" s="1"/>
      <c r="M396" s="1"/>
      <c r="N396" s="1"/>
      <c r="O396" s="1"/>
      <c r="P396" s="1"/>
      <c r="Q396" s="1"/>
    </row>
    <row r="397" spans="2:17">
      <c r="B397" s="1"/>
      <c r="C397" s="1"/>
      <c r="D397" s="1"/>
      <c r="E397" s="1"/>
      <c r="F397" s="1"/>
      <c r="G397" s="1"/>
      <c r="H397" s="1"/>
      <c r="I397" s="1"/>
      <c r="J397" s="1"/>
      <c r="K397" s="1"/>
      <c r="L397" s="1"/>
      <c r="M397" s="1"/>
      <c r="N397" s="1"/>
      <c r="O397" s="1"/>
      <c r="P397" s="1"/>
      <c r="Q397" s="1"/>
    </row>
    <row r="398" spans="2:17">
      <c r="B398" s="1"/>
      <c r="C398" s="1"/>
      <c r="D398" s="1"/>
      <c r="E398" s="1"/>
      <c r="F398" s="1"/>
      <c r="G398" s="1"/>
      <c r="H398" s="1"/>
      <c r="I398" s="1"/>
      <c r="J398" s="1"/>
      <c r="K398" s="1"/>
      <c r="L398" s="1"/>
      <c r="M398" s="1"/>
      <c r="N398" s="1"/>
      <c r="O398" s="1"/>
      <c r="P398" s="1"/>
      <c r="Q398" s="1"/>
    </row>
    <row r="399" spans="2:17">
      <c r="B399" s="1"/>
      <c r="C399" s="1"/>
      <c r="D399" s="1"/>
      <c r="E399" s="1"/>
      <c r="F399" s="1"/>
      <c r="G399" s="1"/>
      <c r="H399" s="1"/>
      <c r="I399" s="1"/>
      <c r="J399" s="1"/>
      <c r="K399" s="1"/>
      <c r="L399" s="1"/>
      <c r="M399" s="1"/>
      <c r="N399" s="1"/>
      <c r="O399" s="1"/>
      <c r="P399" s="1"/>
      <c r="Q399" s="1"/>
    </row>
    <row r="400" spans="2:17">
      <c r="B400" s="1"/>
      <c r="C400" s="1"/>
      <c r="D400" s="1"/>
      <c r="E400" s="1"/>
      <c r="F400" s="1"/>
      <c r="G400" s="1"/>
      <c r="H400" s="1"/>
      <c r="I400" s="1"/>
      <c r="J400" s="1"/>
      <c r="K400" s="1"/>
      <c r="L400" s="1"/>
      <c r="M400" s="1"/>
      <c r="N400" s="1"/>
      <c r="O400" s="1"/>
      <c r="P400" s="1"/>
      <c r="Q400" s="1"/>
    </row>
  </sheetData>
  <mergeCells count="35">
    <mergeCell ref="L364:N364"/>
    <mergeCell ref="L365:N365"/>
    <mergeCell ref="C367:F367"/>
    <mergeCell ref="C368:F368"/>
    <mergeCell ref="C369:F369"/>
    <mergeCell ref="B304:Q304"/>
    <mergeCell ref="B358:Q358"/>
    <mergeCell ref="L361:N361"/>
    <mergeCell ref="L362:N362"/>
    <mergeCell ref="L363:N363"/>
    <mergeCell ref="C231:G231"/>
    <mergeCell ref="C232:G232"/>
    <mergeCell ref="C233:G233"/>
    <mergeCell ref="B236:Q236"/>
    <mergeCell ref="B259:Q259"/>
    <mergeCell ref="K225:Q225"/>
    <mergeCell ref="K226:Q226"/>
    <mergeCell ref="K227:Q227"/>
    <mergeCell ref="K228:Q228"/>
    <mergeCell ref="K229:Q229"/>
    <mergeCell ref="B156:Q156"/>
    <mergeCell ref="B219:Q219"/>
    <mergeCell ref="K222:Q222"/>
    <mergeCell ref="K223:Q223"/>
    <mergeCell ref="K224:Q224"/>
    <mergeCell ref="B45:N45"/>
    <mergeCell ref="B68:N68"/>
    <mergeCell ref="B91:N91"/>
    <mergeCell ref="B114:N114"/>
    <mergeCell ref="B138:N138"/>
    <mergeCell ref="B2:Q2"/>
    <mergeCell ref="B3:Q3"/>
    <mergeCell ref="B7:N7"/>
    <mergeCell ref="C15:Q15"/>
    <mergeCell ref="B16:N16"/>
  </mergeCells>
  <conditionalFormatting sqref="H262:H301">
    <cfRule type="containsText" dxfId="2" priority="1" operator="containsText" text="OK"/>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400"/>
  <sheetViews>
    <sheetView showGridLines="0" topLeftCell="A247" zoomScale="70" zoomScaleNormal="70" workbookViewId="0">
      <selection activeCell="E36" sqref="E36"/>
    </sheetView>
  </sheetViews>
  <sheetFormatPr defaultRowHeight="14"/>
  <cols>
    <col min="1" max="1" width="3" customWidth="1"/>
    <col min="2" max="2" width="4" customWidth="1"/>
    <col min="3" max="3" width="34" customWidth="1"/>
    <col min="4" max="4" width="16" customWidth="1"/>
    <col min="5" max="14" width="12" customWidth="1"/>
  </cols>
  <sheetData>
    <row r="1" spans="2:14">
      <c r="B1" s="1"/>
      <c r="C1" s="1"/>
      <c r="D1" s="1"/>
      <c r="E1" s="1"/>
      <c r="F1" s="1"/>
      <c r="G1" s="1"/>
      <c r="H1" s="1"/>
      <c r="I1" s="1"/>
      <c r="J1" s="1"/>
      <c r="K1" s="1"/>
      <c r="L1" s="1"/>
      <c r="M1" s="1"/>
      <c r="N1" s="1"/>
    </row>
    <row r="2" spans="2:14" ht="32" customHeight="1">
      <c r="B2" s="174" t="s">
        <v>685</v>
      </c>
      <c r="C2" s="174"/>
      <c r="D2" s="174"/>
      <c r="E2" s="174"/>
      <c r="F2" s="174"/>
      <c r="G2" s="174"/>
      <c r="H2" s="174"/>
      <c r="I2" s="174"/>
      <c r="J2" s="174"/>
      <c r="K2" s="174"/>
      <c r="L2" s="174"/>
      <c r="M2" s="174"/>
      <c r="N2" s="174"/>
    </row>
    <row r="3" spans="2:14" ht="22" customHeight="1">
      <c r="B3" s="175" t="s">
        <v>686</v>
      </c>
      <c r="C3" s="175"/>
      <c r="D3" s="175"/>
      <c r="E3" s="175"/>
      <c r="F3" s="175"/>
      <c r="G3" s="175"/>
      <c r="H3" s="175"/>
      <c r="I3" s="175"/>
      <c r="J3" s="175"/>
      <c r="K3" s="175"/>
      <c r="L3" s="175"/>
      <c r="M3" s="175"/>
      <c r="N3" s="175"/>
    </row>
    <row r="4" spans="2:14">
      <c r="B4" s="1"/>
      <c r="C4" s="1"/>
      <c r="D4" s="1"/>
      <c r="E4" s="1"/>
      <c r="F4" s="1"/>
      <c r="G4" s="1"/>
      <c r="H4" s="1"/>
      <c r="I4" s="1"/>
      <c r="J4" s="1"/>
      <c r="K4" s="1"/>
      <c r="L4" s="1"/>
      <c r="M4" s="1"/>
      <c r="N4" s="1"/>
    </row>
    <row r="5" spans="2:14">
      <c r="B5" s="1"/>
      <c r="C5" s="1"/>
      <c r="D5" s="1"/>
      <c r="E5" s="1"/>
      <c r="F5" s="1"/>
      <c r="G5" s="1"/>
      <c r="H5" s="1"/>
      <c r="I5" s="1"/>
      <c r="J5" s="1"/>
      <c r="K5" s="31" t="s">
        <v>21</v>
      </c>
      <c r="L5" s="31" t="s">
        <v>24</v>
      </c>
      <c r="M5" s="31" t="s">
        <v>27</v>
      </c>
      <c r="N5" s="31" t="s">
        <v>30</v>
      </c>
    </row>
    <row r="6" spans="2:14">
      <c r="B6" s="1"/>
      <c r="C6" s="1"/>
      <c r="D6" s="1"/>
      <c r="E6" s="1"/>
      <c r="F6" s="1"/>
      <c r="G6" s="1"/>
      <c r="H6" s="1"/>
      <c r="I6" s="1"/>
      <c r="J6" s="1"/>
      <c r="K6" s="1"/>
      <c r="L6" s="1"/>
      <c r="M6" s="1"/>
      <c r="N6" s="1"/>
    </row>
    <row r="7" spans="2:14">
      <c r="B7" s="1"/>
      <c r="C7" s="4" t="s">
        <v>687</v>
      </c>
      <c r="D7" s="4" t="s">
        <v>186</v>
      </c>
      <c r="E7" s="143" t="s">
        <v>187</v>
      </c>
      <c r="F7" s="144" t="s">
        <v>188</v>
      </c>
      <c r="G7" s="144" t="s">
        <v>189</v>
      </c>
      <c r="H7" s="144" t="s">
        <v>190</v>
      </c>
      <c r="I7" s="145" t="s">
        <v>99</v>
      </c>
      <c r="J7" s="148" t="s">
        <v>100</v>
      </c>
      <c r="K7" s="149" t="s">
        <v>101</v>
      </c>
      <c r="L7" s="149" t="s">
        <v>102</v>
      </c>
      <c r="M7" s="149" t="s">
        <v>103</v>
      </c>
      <c r="N7" s="150" t="s">
        <v>104</v>
      </c>
    </row>
    <row r="8" spans="2:14">
      <c r="B8" s="1"/>
      <c r="C8" s="1"/>
      <c r="D8" s="1"/>
      <c r="E8" s="1"/>
      <c r="F8" s="1"/>
      <c r="G8" s="1"/>
      <c r="H8" s="1"/>
      <c r="I8" s="1"/>
      <c r="J8" s="1"/>
      <c r="K8" s="1"/>
      <c r="L8" s="1"/>
      <c r="M8" s="1"/>
      <c r="N8" s="1"/>
    </row>
    <row r="9" spans="2:14" ht="21" customHeight="1">
      <c r="B9" s="177" t="s">
        <v>688</v>
      </c>
      <c r="C9" s="177"/>
      <c r="D9" s="177"/>
      <c r="E9" s="194"/>
      <c r="F9" s="194"/>
      <c r="G9" s="194"/>
      <c r="H9" s="194"/>
      <c r="I9" s="194"/>
      <c r="J9" s="194"/>
      <c r="K9" s="194"/>
      <c r="L9" s="194"/>
      <c r="M9" s="194"/>
      <c r="N9" s="194"/>
    </row>
    <row r="10" spans="2:14">
      <c r="B10" s="1"/>
      <c r="C10" s="1"/>
      <c r="D10" s="1"/>
      <c r="E10" s="1"/>
      <c r="F10" s="1"/>
      <c r="G10" s="1"/>
      <c r="H10" s="1"/>
      <c r="I10" s="1"/>
      <c r="J10" s="1"/>
      <c r="K10" s="1"/>
      <c r="L10" s="1"/>
      <c r="M10" s="1"/>
      <c r="N10" s="1"/>
    </row>
    <row r="11" spans="2:14">
      <c r="B11" s="1"/>
      <c r="C11" s="1" t="s">
        <v>124</v>
      </c>
      <c r="D11" s="1" t="s">
        <v>191</v>
      </c>
      <c r="E11" s="51" t="str">
        <f>""</f>
        <v/>
      </c>
      <c r="F11" s="51">
        <f>F16/E16-1</f>
        <v>9.6488974523656568E-2</v>
      </c>
      <c r="G11" s="51">
        <f>G16/F16-1</f>
        <v>2.8310912392370824E-3</v>
      </c>
      <c r="H11" s="51">
        <f>H16/G16-1</f>
        <v>-9.8380125384525563E-2</v>
      </c>
      <c r="I11" s="51">
        <f>I16/H16-1</f>
        <v>1.9218726381480256E-3</v>
      </c>
      <c r="J11" s="51">
        <f>Inputs!J18+Inputs!$G$10</f>
        <v>0.04</v>
      </c>
      <c r="K11" s="51">
        <f>Inputs!K18+Inputs!$G$10</f>
        <v>0.05</v>
      </c>
      <c r="L11" s="51">
        <f>Inputs!L18+Inputs!$G$10</f>
        <v>5.5E-2</v>
      </c>
      <c r="M11" s="51">
        <f>Inputs!M18+Inputs!$G$10</f>
        <v>5.5E-2</v>
      </c>
      <c r="N11" s="51">
        <f>Inputs!N18+Inputs!$G$10</f>
        <v>5.5E-2</v>
      </c>
    </row>
    <row r="12" spans="2:14">
      <c r="B12" s="1"/>
      <c r="C12" s="1" t="s">
        <v>128</v>
      </c>
      <c r="D12" s="1" t="s">
        <v>191</v>
      </c>
      <c r="E12" s="51">
        <f>E18/E16</f>
        <v>0.45983729394134021</v>
      </c>
      <c r="F12" s="51">
        <f>F18/F16</f>
        <v>0.43524610969014194</v>
      </c>
      <c r="G12" s="51">
        <f>G18/G16</f>
        <v>0.44560180678322497</v>
      </c>
      <c r="H12" s="51">
        <f>H18/H16</f>
        <v>0.42734673605562634</v>
      </c>
      <c r="I12" s="51">
        <f>I18/I16</f>
        <v>0.42913487650329757</v>
      </c>
      <c r="J12" s="51">
        <f>Inputs!J19+Inputs!$G$11</f>
        <v>0.432</v>
      </c>
      <c r="K12" s="51">
        <f>Inputs!K19+Inputs!$G$11</f>
        <v>0.438</v>
      </c>
      <c r="L12" s="51">
        <f>Inputs!L19+Inputs!$G$11</f>
        <v>0.44400000000000001</v>
      </c>
      <c r="M12" s="51">
        <f>Inputs!M19+Inputs!$G$11</f>
        <v>0.44900000000000001</v>
      </c>
      <c r="N12" s="51">
        <f>Inputs!N19+Inputs!$G$11</f>
        <v>0.45300000000000001</v>
      </c>
    </row>
    <row r="13" spans="2:14">
      <c r="B13" s="1"/>
      <c r="C13" s="1" t="s">
        <v>192</v>
      </c>
      <c r="D13" s="1" t="s">
        <v>191</v>
      </c>
      <c r="E13" s="51">
        <f>E19/E16</f>
        <v>8.2423463926354093E-2</v>
      </c>
      <c r="F13" s="51">
        <f>F19/F16</f>
        <v>7.9270554698635212E-2</v>
      </c>
      <c r="G13" s="51">
        <f>G19/G16</f>
        <v>8.3427436626299603E-2</v>
      </c>
      <c r="H13" s="51">
        <f>H19/H16</f>
        <v>0.10125461573344274</v>
      </c>
      <c r="I13" s="51">
        <f>I19/I16</f>
        <v>0.10246131298762878</v>
      </c>
      <c r="J13" s="51">
        <f>Inputs!J20</f>
        <v>0.105</v>
      </c>
      <c r="K13" s="51">
        <f>Inputs!K20</f>
        <v>0.106</v>
      </c>
      <c r="L13" s="51">
        <f>Inputs!L20</f>
        <v>0.105</v>
      </c>
      <c r="M13" s="51">
        <f>Inputs!M20</f>
        <v>0.104</v>
      </c>
      <c r="N13" s="51">
        <f>Inputs!N20</f>
        <v>0.10299999999999999</v>
      </c>
    </row>
    <row r="14" spans="2:14">
      <c r="B14" s="1"/>
      <c r="C14" s="1" t="s">
        <v>193</v>
      </c>
      <c r="D14" s="1" t="s">
        <v>191</v>
      </c>
      <c r="E14" s="51">
        <f>E20/E16</f>
        <v>0.23451081138942412</v>
      </c>
      <c r="F14" s="51">
        <f>F20/F16</f>
        <v>0.24048655719780543</v>
      </c>
      <c r="G14" s="51">
        <f>G20/G16</f>
        <v>0.23930142907207663</v>
      </c>
      <c r="H14" s="51">
        <f>H20/H16</f>
        <v>0.24615085620505733</v>
      </c>
      <c r="I14" s="51">
        <f>I20/I16</f>
        <v>0.24483813957498168</v>
      </c>
      <c r="J14" s="51">
        <f>Inputs!J21</f>
        <v>0.245</v>
      </c>
      <c r="K14" s="51">
        <f>Inputs!K21</f>
        <v>0.23799999999999999</v>
      </c>
      <c r="L14" s="51">
        <f>Inputs!L21</f>
        <v>0.23200000000000001</v>
      </c>
      <c r="M14" s="51">
        <f>Inputs!M21</f>
        <v>0.22700000000000001</v>
      </c>
      <c r="N14" s="51">
        <f>Inputs!N21</f>
        <v>0.223</v>
      </c>
    </row>
    <row r="15" spans="2:14">
      <c r="B15" s="1"/>
      <c r="C15" s="1"/>
      <c r="D15" s="1"/>
      <c r="E15" s="1"/>
      <c r="F15" s="1"/>
      <c r="G15" s="1"/>
      <c r="H15" s="1"/>
      <c r="I15" s="1"/>
      <c r="J15" s="1"/>
      <c r="K15" s="1"/>
      <c r="L15" s="1"/>
      <c r="M15" s="1"/>
      <c r="N15" s="1"/>
    </row>
    <row r="16" spans="2:14">
      <c r="B16" s="1"/>
      <c r="C16" s="1" t="s">
        <v>107</v>
      </c>
      <c r="D16" s="1" t="s">
        <v>206</v>
      </c>
      <c r="E16" s="54">
        <f>Inputs!E158</f>
        <v>46710</v>
      </c>
      <c r="F16" s="54">
        <f>Inputs!F158</f>
        <v>51217</v>
      </c>
      <c r="G16" s="54">
        <f>Inputs!G158</f>
        <v>51362</v>
      </c>
      <c r="H16" s="54">
        <f>Inputs!H158</f>
        <v>46309</v>
      </c>
      <c r="I16" s="54">
        <f>Inputs!I158</f>
        <v>46398</v>
      </c>
      <c r="J16" s="54">
        <f>I16*(1+J11)</f>
        <v>48253.919999999998</v>
      </c>
      <c r="K16" s="54">
        <f>J16*(1+K11)</f>
        <v>50666.616000000002</v>
      </c>
      <c r="L16" s="54">
        <f>K16*(1+L11)</f>
        <v>53453.279880000002</v>
      </c>
      <c r="M16" s="54">
        <f>L16*(1+M11)</f>
        <v>56393.2102734</v>
      </c>
      <c r="N16" s="54">
        <f>M16*(1+N11)</f>
        <v>59494.836838436997</v>
      </c>
    </row>
    <row r="17" spans="2:14">
      <c r="B17" s="1"/>
      <c r="C17" s="1" t="s">
        <v>265</v>
      </c>
      <c r="D17" s="1" t="s">
        <v>206</v>
      </c>
      <c r="E17" s="54">
        <f>Inputs!E159</f>
        <v>25231</v>
      </c>
      <c r="F17" s="54">
        <f>Inputs!F159</f>
        <v>28925</v>
      </c>
      <c r="G17" s="54">
        <f>Inputs!G159</f>
        <v>28475</v>
      </c>
      <c r="H17" s="54">
        <f>Inputs!H159</f>
        <v>26519</v>
      </c>
      <c r="I17" s="54">
        <f>Inputs!I159</f>
        <v>26487</v>
      </c>
      <c r="J17" s="54">
        <f>J16-J18</f>
        <v>27408.226559999999</v>
      </c>
      <c r="K17" s="54">
        <f>K16-K18</f>
        <v>28474.638192000002</v>
      </c>
      <c r="L17" s="54">
        <f>L16-L18</f>
        <v>29720.023613280002</v>
      </c>
      <c r="M17" s="54">
        <f>M16-M18</f>
        <v>31072.658860643398</v>
      </c>
      <c r="N17" s="54">
        <f>N16-N18</f>
        <v>32543.675750625036</v>
      </c>
    </row>
    <row r="18" spans="2:14">
      <c r="B18" s="1"/>
      <c r="C18" s="122" t="s">
        <v>164</v>
      </c>
      <c r="D18" s="122" t="s">
        <v>206</v>
      </c>
      <c r="E18" s="123">
        <f>Inputs!E160</f>
        <v>21479</v>
      </c>
      <c r="F18" s="123">
        <f>Inputs!F160</f>
        <v>22292</v>
      </c>
      <c r="G18" s="123">
        <f>Inputs!G160</f>
        <v>22887</v>
      </c>
      <c r="H18" s="123">
        <f>Inputs!H160</f>
        <v>19790</v>
      </c>
      <c r="I18" s="123">
        <f>Inputs!I160</f>
        <v>19911</v>
      </c>
      <c r="J18" s="123">
        <f>J16*J12</f>
        <v>20845.693439999999</v>
      </c>
      <c r="K18" s="123">
        <f>K16*K12</f>
        <v>22191.977808</v>
      </c>
      <c r="L18" s="123">
        <f>L16*L12</f>
        <v>23733.25626672</v>
      </c>
      <c r="M18" s="123">
        <f>M16*M12</f>
        <v>25320.551412756602</v>
      </c>
      <c r="N18" s="123">
        <f>N16*N12</f>
        <v>26951.161087811961</v>
      </c>
    </row>
    <row r="19" spans="2:14">
      <c r="B19" s="1"/>
      <c r="C19" s="1" t="s">
        <v>266</v>
      </c>
      <c r="D19" s="1" t="s">
        <v>206</v>
      </c>
      <c r="E19" s="54">
        <f>Inputs!E161</f>
        <v>3850</v>
      </c>
      <c r="F19" s="54">
        <f>Inputs!F161</f>
        <v>4060</v>
      </c>
      <c r="G19" s="54">
        <f>Inputs!G161</f>
        <v>4285</v>
      </c>
      <c r="H19" s="54">
        <f>Inputs!H161</f>
        <v>4689</v>
      </c>
      <c r="I19" s="54">
        <f>Inputs!I161</f>
        <v>4754</v>
      </c>
      <c r="J19" s="54">
        <f>J16*J13</f>
        <v>5066.6615999999995</v>
      </c>
      <c r="K19" s="54">
        <f>K16*K13</f>
        <v>5370.6612960000002</v>
      </c>
      <c r="L19" s="54">
        <f>L16*L13</f>
        <v>5612.5943874000004</v>
      </c>
      <c r="M19" s="54">
        <f>M16*M13</f>
        <v>5864.8938684335999</v>
      </c>
      <c r="N19" s="54">
        <f>N16*N13</f>
        <v>6127.9681943590103</v>
      </c>
    </row>
    <row r="20" spans="2:14">
      <c r="B20" s="1"/>
      <c r="C20" s="1" t="s">
        <v>267</v>
      </c>
      <c r="D20" s="1" t="s">
        <v>206</v>
      </c>
      <c r="E20" s="54">
        <f>Inputs!E162</f>
        <v>10954</v>
      </c>
      <c r="F20" s="54">
        <f>Inputs!F162</f>
        <v>12317</v>
      </c>
      <c r="G20" s="54">
        <f>Inputs!G162</f>
        <v>12291</v>
      </c>
      <c r="H20" s="54">
        <f>Inputs!H162</f>
        <v>11399</v>
      </c>
      <c r="I20" s="54">
        <f>Inputs!I162</f>
        <v>11360</v>
      </c>
      <c r="J20" s="54">
        <f>J16*J14</f>
        <v>11822.2104</v>
      </c>
      <c r="K20" s="54">
        <f>K16*K14</f>
        <v>12058.654608000001</v>
      </c>
      <c r="L20" s="54">
        <f>L16*L14</f>
        <v>12401.160932160001</v>
      </c>
      <c r="M20" s="54">
        <f>M16*M14</f>
        <v>12801.2587320618</v>
      </c>
      <c r="N20" s="54">
        <f>N16*N14</f>
        <v>13267.34861497145</v>
      </c>
    </row>
    <row r="21" spans="2:14">
      <c r="B21" s="1"/>
      <c r="C21" s="122" t="s">
        <v>109</v>
      </c>
      <c r="D21" s="122" t="s">
        <v>206</v>
      </c>
      <c r="E21" s="123">
        <f t="shared" ref="E21:N21" si="0">E18-E19-E20</f>
        <v>6675</v>
      </c>
      <c r="F21" s="123">
        <f t="shared" si="0"/>
        <v>5915</v>
      </c>
      <c r="G21" s="123">
        <f t="shared" si="0"/>
        <v>6311</v>
      </c>
      <c r="H21" s="123">
        <f t="shared" si="0"/>
        <v>3702</v>
      </c>
      <c r="I21" s="123">
        <f t="shared" si="0"/>
        <v>3797</v>
      </c>
      <c r="J21" s="123">
        <f t="shared" si="0"/>
        <v>3956.8214399999997</v>
      </c>
      <c r="K21" s="123">
        <f t="shared" si="0"/>
        <v>4762.6619039999969</v>
      </c>
      <c r="L21" s="123">
        <f t="shared" si="0"/>
        <v>5719.5009471599988</v>
      </c>
      <c r="M21" s="123">
        <f t="shared" si="0"/>
        <v>6654.3988122612027</v>
      </c>
      <c r="N21" s="123">
        <f t="shared" si="0"/>
        <v>7555.8442784814997</v>
      </c>
    </row>
    <row r="22" spans="2:14">
      <c r="B22" s="1"/>
      <c r="C22" s="1" t="s">
        <v>689</v>
      </c>
      <c r="D22" s="1" t="s">
        <v>191</v>
      </c>
      <c r="E22" s="54">
        <f t="shared" ref="E22:N22" si="1">E21/E16</f>
        <v>0.14290301862556198</v>
      </c>
      <c r="F22" s="54">
        <f t="shared" si="1"/>
        <v>0.11548899779370131</v>
      </c>
      <c r="G22" s="54">
        <f t="shared" si="1"/>
        <v>0.12287294108484872</v>
      </c>
      <c r="H22" s="54">
        <f t="shared" si="1"/>
        <v>7.9941264117126265E-2</v>
      </c>
      <c r="I22" s="54">
        <f t="shared" si="1"/>
        <v>8.1835423940687102E-2</v>
      </c>
      <c r="J22" s="54">
        <f t="shared" si="1"/>
        <v>8.2000000000000003E-2</v>
      </c>
      <c r="K22" s="54">
        <f t="shared" si="1"/>
        <v>9.3999999999999931E-2</v>
      </c>
      <c r="L22" s="54">
        <f t="shared" si="1"/>
        <v>0.10699999999999997</v>
      </c>
      <c r="M22" s="54">
        <f t="shared" si="1"/>
        <v>0.11800000000000005</v>
      </c>
      <c r="N22" s="54">
        <f t="shared" si="1"/>
        <v>0.12700000000000003</v>
      </c>
    </row>
    <row r="23" spans="2:14">
      <c r="B23" s="1"/>
      <c r="C23" s="1" t="s">
        <v>268</v>
      </c>
      <c r="D23" s="1" t="s">
        <v>206</v>
      </c>
      <c r="E23" s="54">
        <f>Inputs!E163</f>
        <v>205</v>
      </c>
      <c r="F23" s="54">
        <f>Inputs!F163</f>
        <v>-6</v>
      </c>
      <c r="G23" s="54">
        <f>Inputs!G163</f>
        <v>-161</v>
      </c>
      <c r="H23" s="54">
        <f>Inputs!H163</f>
        <v>-107</v>
      </c>
      <c r="I23" s="54">
        <f>Inputs!I163</f>
        <v>-50</v>
      </c>
      <c r="J23" s="54">
        <f>IF(Inputs!$D$10=0,(I91+I93)*Inputs!$D$143-(I74+I75)*Inputs!$D$155,AVERAGE(I91+I93,J58)*Inputs!$D$143-(I74+AVERAGE(I75,J75))*Inputs!$D$155)</f>
        <v>198.42779999999999</v>
      </c>
      <c r="K23" s="54">
        <f>IF(Inputs!$D$10=0,(J91+J93)*Inputs!$D$143-(J74+J75)*Inputs!$D$155,AVERAGE(J91+J93,K58)*Inputs!$D$143-(J74+AVERAGE(J75,K75))*Inputs!$D$155)</f>
        <v>153.96381435231416</v>
      </c>
      <c r="L23" s="54">
        <f>IF(Inputs!$D$10=0,(K91+K93)*Inputs!$D$143-(K74+K75)*Inputs!$D$155,AVERAGE(K91+K93,L58)*Inputs!$D$143-(K74+AVERAGE(K75,L75))*Inputs!$D$155)</f>
        <v>98.971175199878758</v>
      </c>
      <c r="M23" s="54">
        <f>IF(Inputs!$D$10=0,(L91+L93)*Inputs!$D$143-(L74+L75)*Inputs!$D$155,AVERAGE(L91+L93,M58)*Inputs!$D$143-(L74+AVERAGE(L75,M75))*Inputs!$D$155)</f>
        <v>34.340304470155957</v>
      </c>
      <c r="N23" s="54">
        <f>IF(Inputs!$D$10=0,(M91+M93)*Inputs!$D$143-(M74+M75)*Inputs!$D$155,AVERAGE(M91+M93,N58)*Inputs!$D$143-(M74+AVERAGE(M75,N75))*Inputs!$D$155)</f>
        <v>-43.141457823477367</v>
      </c>
    </row>
    <row r="24" spans="2:14">
      <c r="B24" s="1"/>
      <c r="C24" s="1" t="s">
        <v>269</v>
      </c>
      <c r="D24" s="1" t="s">
        <v>206</v>
      </c>
      <c r="E24" s="54">
        <f>Inputs!E164</f>
        <v>-181</v>
      </c>
      <c r="F24" s="54">
        <f>Inputs!F164</f>
        <v>-280</v>
      </c>
      <c r="G24" s="54">
        <f>Inputs!G164</f>
        <v>-228</v>
      </c>
      <c r="H24" s="54">
        <f>Inputs!H164</f>
        <v>-76</v>
      </c>
      <c r="I24" s="54">
        <f>Inputs!I164</f>
        <v>-53</v>
      </c>
      <c r="J24" s="54">
        <f>Inputs!$M$149</f>
        <v>0</v>
      </c>
      <c r="K24" s="54">
        <f>Inputs!$M$149</f>
        <v>0</v>
      </c>
      <c r="L24" s="54">
        <f>Inputs!$M$149</f>
        <v>0</v>
      </c>
      <c r="M24" s="54">
        <f>Inputs!$M$149</f>
        <v>0</v>
      </c>
      <c r="N24" s="54">
        <f>Inputs!$M$149</f>
        <v>0</v>
      </c>
    </row>
    <row r="25" spans="2:14">
      <c r="B25" s="1"/>
      <c r="C25" s="122" t="s">
        <v>270</v>
      </c>
      <c r="D25" s="122" t="s">
        <v>206</v>
      </c>
      <c r="E25" s="123">
        <f>Inputs!E165</f>
        <v>6651</v>
      </c>
      <c r="F25" s="123">
        <f>Inputs!F165</f>
        <v>6201</v>
      </c>
      <c r="G25" s="123">
        <f>Inputs!G165</f>
        <v>6700</v>
      </c>
      <c r="H25" s="123">
        <f>Inputs!H165</f>
        <v>3885</v>
      </c>
      <c r="I25" s="123">
        <f>Inputs!I165</f>
        <v>3900</v>
      </c>
      <c r="J25" s="123">
        <f>J21-J23-J24</f>
        <v>3758.3936399999998</v>
      </c>
      <c r="K25" s="123">
        <f>K21-K23-K24</f>
        <v>4608.6980896476825</v>
      </c>
      <c r="L25" s="123">
        <f>L21-L23-L24</f>
        <v>5620.5297719601203</v>
      </c>
      <c r="M25" s="123">
        <f>M21-M23-M24</f>
        <v>6620.0585077910464</v>
      </c>
      <c r="N25" s="123">
        <f>N21-N23-N24</f>
        <v>7598.9857363049769</v>
      </c>
    </row>
    <row r="26" spans="2:14">
      <c r="B26" s="1"/>
      <c r="C26" s="1" t="s">
        <v>271</v>
      </c>
      <c r="D26" s="1" t="s">
        <v>206</v>
      </c>
      <c r="E26" s="54">
        <f>Inputs!E166</f>
        <v>605</v>
      </c>
      <c r="F26" s="54">
        <f>Inputs!F166</f>
        <v>1131</v>
      </c>
      <c r="G26" s="54">
        <f>Inputs!G166</f>
        <v>1000</v>
      </c>
      <c r="H26" s="54">
        <f>Inputs!H166</f>
        <v>666</v>
      </c>
      <c r="I26" s="54">
        <f>Inputs!I166</f>
        <v>792</v>
      </c>
      <c r="J26" s="54">
        <f>J244</f>
        <v>762.9541720075548</v>
      </c>
      <c r="K26" s="54">
        <f>K244</f>
        <v>935.56603480734555</v>
      </c>
      <c r="L26" s="54">
        <f>L244</f>
        <v>1140.9679371449886</v>
      </c>
      <c r="M26" s="54">
        <f>M244</f>
        <v>1343.8723404856778</v>
      </c>
      <c r="N26" s="54">
        <f>N244</f>
        <v>1542.5946363989119</v>
      </c>
    </row>
    <row r="27" spans="2:14">
      <c r="B27" s="1"/>
      <c r="C27" s="1" t="s">
        <v>690</v>
      </c>
      <c r="D27" s="1" t="s">
        <v>191</v>
      </c>
      <c r="E27" s="54">
        <f>E26/E25</f>
        <v>9.0963764847391368E-2</v>
      </c>
      <c r="F27" s="54">
        <f>F26/F25</f>
        <v>0.18238993710691823</v>
      </c>
      <c r="G27" s="54">
        <f>G26/G25</f>
        <v>0.14925373134328357</v>
      </c>
      <c r="H27" s="54">
        <f>H26/H25</f>
        <v>0.17142857142857143</v>
      </c>
      <c r="I27" s="54">
        <f>I26/I25</f>
        <v>0.20307692307692307</v>
      </c>
      <c r="J27" s="54">
        <f>IF(J25&gt;0,J26/J25,0%)</f>
        <v>0.20300007</v>
      </c>
      <c r="K27" s="54">
        <f>IF(K25&gt;0,K26/K25,0%)</f>
        <v>0.20300006999999995</v>
      </c>
      <c r="L27" s="54">
        <f>IF(L25&gt;0,L26/L25,0%)</f>
        <v>0.20300007000000003</v>
      </c>
      <c r="M27" s="54">
        <f>IF(M25&gt;0,M26/M25,0%)</f>
        <v>0.20300006999999998</v>
      </c>
      <c r="N27" s="54">
        <f>IF(N25&gt;0,N26/N25,0%)</f>
        <v>0.20300007</v>
      </c>
    </row>
    <row r="28" spans="2:14">
      <c r="B28" s="1"/>
      <c r="C28" s="122" t="s">
        <v>111</v>
      </c>
      <c r="D28" s="122" t="s">
        <v>206</v>
      </c>
      <c r="E28" s="123">
        <f>Inputs!E167</f>
        <v>6046</v>
      </c>
      <c r="F28" s="123">
        <f>Inputs!F167</f>
        <v>5070</v>
      </c>
      <c r="G28" s="123">
        <f>Inputs!G167</f>
        <v>5700</v>
      </c>
      <c r="H28" s="123">
        <f>Inputs!H167</f>
        <v>3219</v>
      </c>
      <c r="I28" s="123">
        <f>Inputs!I167</f>
        <v>3108</v>
      </c>
      <c r="J28" s="123">
        <f>J25-J26</f>
        <v>2995.4394679924449</v>
      </c>
      <c r="K28" s="123">
        <f>K25-K26</f>
        <v>3673.1320548403369</v>
      </c>
      <c r="L28" s="123">
        <f>L25-L26</f>
        <v>4479.561834815132</v>
      </c>
      <c r="M28" s="123">
        <f>M25-M26</f>
        <v>5276.1861673053681</v>
      </c>
      <c r="N28" s="123">
        <f>N25-N26</f>
        <v>6056.3910999060645</v>
      </c>
    </row>
    <row r="29" spans="2:14">
      <c r="B29" s="1"/>
      <c r="C29" s="1" t="s">
        <v>273</v>
      </c>
      <c r="D29" s="1" t="s">
        <v>274</v>
      </c>
      <c r="E29" s="54">
        <f>Inputs!E169</f>
        <v>1610.8</v>
      </c>
      <c r="F29" s="54">
        <f>Inputs!F169</f>
        <v>1569.8</v>
      </c>
      <c r="G29" s="54">
        <f>Inputs!G169</f>
        <v>1529.7</v>
      </c>
      <c r="H29" s="54">
        <f>Inputs!H169</f>
        <v>1487.6</v>
      </c>
      <c r="I29" s="54">
        <f>Inputs!I169</f>
        <v>1481</v>
      </c>
      <c r="J29" s="54">
        <f>J231</f>
        <v>1513.1576055423152</v>
      </c>
      <c r="K29" s="54">
        <f>K231</f>
        <v>1504.7529782677873</v>
      </c>
      <c r="L29" s="54">
        <f>L231</f>
        <v>1496.8914284825228</v>
      </c>
      <c r="M29" s="54">
        <f>M231</f>
        <v>1489.5470953536994</v>
      </c>
      <c r="N29" s="54">
        <f>N231</f>
        <v>1482.6953495167247</v>
      </c>
    </row>
    <row r="30" spans="2:14">
      <c r="B30" s="1"/>
      <c r="C30" s="122" t="s">
        <v>117</v>
      </c>
      <c r="D30" s="122" t="s">
        <v>272</v>
      </c>
      <c r="E30" s="124">
        <f>Inputs!E168</f>
        <v>3.75</v>
      </c>
      <c r="F30" s="124">
        <f>Inputs!F168</f>
        <v>3.23</v>
      </c>
      <c r="G30" s="124">
        <f>Inputs!G168</f>
        <v>3.73</v>
      </c>
      <c r="H30" s="124">
        <f>Inputs!H168</f>
        <v>2.16</v>
      </c>
      <c r="I30" s="124">
        <f>Inputs!I168</f>
        <v>2.1</v>
      </c>
      <c r="J30" s="124">
        <f>J28/J29</f>
        <v>1.9795951571871329</v>
      </c>
      <c r="K30" s="124">
        <f>K28/K29</f>
        <v>2.441019960012774</v>
      </c>
      <c r="L30" s="124">
        <f>L28/L29</f>
        <v>2.992576314874285</v>
      </c>
      <c r="M30" s="124">
        <f>M28/M29</f>
        <v>3.542141221155894</v>
      </c>
      <c r="N30" s="124">
        <f>N28/N29</f>
        <v>4.0847171348315801</v>
      </c>
    </row>
    <row r="31" spans="2:14">
      <c r="B31" s="1"/>
      <c r="C31" s="1"/>
      <c r="D31" s="1"/>
      <c r="E31" s="1"/>
      <c r="F31" s="1"/>
      <c r="G31" s="1"/>
      <c r="H31" s="1"/>
      <c r="I31" s="1"/>
      <c r="J31" s="1"/>
      <c r="K31" s="1"/>
      <c r="L31" s="1"/>
      <c r="M31" s="1"/>
      <c r="N31" s="1"/>
    </row>
    <row r="32" spans="2:14">
      <c r="B32" s="1"/>
      <c r="C32" s="1"/>
      <c r="D32" s="1"/>
      <c r="E32" s="1"/>
      <c r="F32" s="1"/>
      <c r="G32" s="1"/>
      <c r="H32" s="1"/>
      <c r="I32" s="1"/>
      <c r="J32" s="1"/>
      <c r="K32" s="1"/>
      <c r="L32" s="1"/>
      <c r="M32" s="1"/>
      <c r="N32" s="1"/>
    </row>
    <row r="33" spans="2:14" ht="21" customHeight="1">
      <c r="B33" s="177" t="s">
        <v>691</v>
      </c>
      <c r="C33" s="177"/>
      <c r="D33" s="177"/>
      <c r="E33" s="194"/>
      <c r="F33" s="194"/>
      <c r="G33" s="194"/>
      <c r="H33" s="194"/>
      <c r="I33" s="194"/>
      <c r="J33" s="194"/>
      <c r="K33" s="194"/>
      <c r="L33" s="194"/>
      <c r="M33" s="194"/>
      <c r="N33" s="194"/>
    </row>
    <row r="34" spans="2:14">
      <c r="B34" s="1"/>
      <c r="C34" s="1"/>
      <c r="D34" s="1"/>
      <c r="E34" s="1"/>
      <c r="F34" s="1"/>
      <c r="G34" s="1"/>
      <c r="H34" s="1"/>
      <c r="I34" s="1"/>
      <c r="J34" s="1"/>
      <c r="K34" s="1"/>
      <c r="L34" s="1"/>
      <c r="M34" s="1"/>
      <c r="N34" s="1"/>
    </row>
    <row r="35" spans="2:14">
      <c r="B35" s="1"/>
      <c r="C35" s="1" t="s">
        <v>194</v>
      </c>
      <c r="D35" s="1" t="s">
        <v>195</v>
      </c>
      <c r="E35" s="53">
        <f>E39/E16*365</f>
        <v>36.468743309783775</v>
      </c>
      <c r="F35" s="53">
        <f t="shared" ref="E35:I36" si="2">F39/F16*365</f>
        <v>29.439736806138587</v>
      </c>
      <c r="G35" s="53">
        <f t="shared" si="2"/>
        <v>31.460126163311397</v>
      </c>
      <c r="H35" s="53">
        <f t="shared" si="2"/>
        <v>37.178626184974839</v>
      </c>
      <c r="I35" s="53">
        <f t="shared" si="2"/>
        <v>46.657506789085737</v>
      </c>
      <c r="J35" s="53">
        <f>Inputs!J22+Inputs!$G$13</f>
        <v>44</v>
      </c>
      <c r="K35" s="53">
        <f>Inputs!K22+Inputs!$G$13</f>
        <v>43</v>
      </c>
      <c r="L35" s="53">
        <f>Inputs!L22+Inputs!$G$13</f>
        <v>42</v>
      </c>
      <c r="M35" s="53">
        <f>Inputs!M22+Inputs!$G$13</f>
        <v>41</v>
      </c>
      <c r="N35" s="53">
        <f>Inputs!N22+Inputs!$G$13</f>
        <v>40</v>
      </c>
    </row>
    <row r="36" spans="2:14">
      <c r="B36" s="1"/>
      <c r="C36" s="1" t="s">
        <v>196</v>
      </c>
      <c r="D36" s="1" t="s">
        <v>195</v>
      </c>
      <c r="E36" s="53">
        <f t="shared" si="2"/>
        <v>121.8065078673061</v>
      </c>
      <c r="F36" s="53">
        <f t="shared" si="2"/>
        <v>106.67968885047536</v>
      </c>
      <c r="G36" s="53">
        <f t="shared" si="2"/>
        <v>96.380509218612829</v>
      </c>
      <c r="H36" s="53">
        <f t="shared" si="2"/>
        <v>103.07647347185038</v>
      </c>
      <c r="I36" s="53">
        <f t="shared" si="2"/>
        <v>103.36636840714313</v>
      </c>
      <c r="J36" s="53">
        <f>Inputs!J23+Inputs!$G$13</f>
        <v>101</v>
      </c>
      <c r="K36" s="53">
        <f>Inputs!K23+Inputs!$G$13</f>
        <v>99</v>
      </c>
      <c r="L36" s="53">
        <f>Inputs!L23+Inputs!$G$13</f>
        <v>97</v>
      </c>
      <c r="M36" s="53">
        <f>Inputs!M23+Inputs!$G$13</f>
        <v>96</v>
      </c>
      <c r="N36" s="53">
        <f>Inputs!N23+Inputs!$G$13</f>
        <v>95</v>
      </c>
    </row>
    <row r="37" spans="2:14">
      <c r="B37" s="1"/>
      <c r="C37" s="1" t="s">
        <v>197</v>
      </c>
      <c r="D37" s="1" t="s">
        <v>195</v>
      </c>
      <c r="E37" s="53">
        <f>E42/E17*365</f>
        <v>48.577939835916133</v>
      </c>
      <c r="F37" s="53">
        <f>F42/F17*365</f>
        <v>36.115125324114082</v>
      </c>
      <c r="G37" s="53">
        <f>G42/G17*365</f>
        <v>36.544863915715538</v>
      </c>
      <c r="H37" s="53">
        <f>H42/H17*365</f>
        <v>47.883969983785214</v>
      </c>
      <c r="I37" s="53">
        <f>I42/I17*365</f>
        <v>49.60924226979273</v>
      </c>
      <c r="J37" s="53">
        <f>Inputs!J24+Inputs!$G$14</f>
        <v>49</v>
      </c>
      <c r="K37" s="53">
        <f>Inputs!K24+Inputs!$G$14</f>
        <v>50</v>
      </c>
      <c r="L37" s="53">
        <f>Inputs!L24+Inputs!$G$14</f>
        <v>50</v>
      </c>
      <c r="M37" s="53">
        <f>Inputs!M24+Inputs!$G$14</f>
        <v>51</v>
      </c>
      <c r="N37" s="53">
        <f>Inputs!N24+Inputs!$G$14</f>
        <v>52</v>
      </c>
    </row>
    <row r="38" spans="2:14">
      <c r="B38" s="1"/>
      <c r="C38" s="1"/>
      <c r="D38" s="1"/>
      <c r="E38" s="1"/>
      <c r="F38" s="1"/>
      <c r="G38" s="1"/>
      <c r="H38" s="1"/>
      <c r="I38" s="1"/>
      <c r="J38" s="1"/>
      <c r="K38" s="1"/>
      <c r="L38" s="1"/>
      <c r="M38" s="1"/>
      <c r="N38" s="1"/>
    </row>
    <row r="39" spans="2:14">
      <c r="B39" s="1"/>
      <c r="C39" s="1" t="s">
        <v>299</v>
      </c>
      <c r="D39" s="1" t="s">
        <v>206</v>
      </c>
      <c r="E39" s="54">
        <f>Inputs!E193</f>
        <v>4667</v>
      </c>
      <c r="F39" s="54">
        <f>Inputs!F193</f>
        <v>4131</v>
      </c>
      <c r="G39" s="54">
        <f>Inputs!G193</f>
        <v>4427</v>
      </c>
      <c r="H39" s="54">
        <f>Inputs!H193</f>
        <v>4717</v>
      </c>
      <c r="I39" s="54">
        <f>Inputs!I193</f>
        <v>5931</v>
      </c>
      <c r="J39" s="54">
        <f t="shared" ref="J39:N40" si="3">J16*J35/365</f>
        <v>5816.910904109589</v>
      </c>
      <c r="K39" s="54">
        <f t="shared" si="3"/>
        <v>5968.9438027397255</v>
      </c>
      <c r="L39" s="54">
        <f t="shared" si="3"/>
        <v>6150.7883697534244</v>
      </c>
      <c r="M39" s="54">
        <f t="shared" si="3"/>
        <v>6334.5797841353415</v>
      </c>
      <c r="N39" s="54">
        <f t="shared" si="3"/>
        <v>6519.9821192807667</v>
      </c>
    </row>
    <row r="40" spans="2:14">
      <c r="B40" s="1"/>
      <c r="C40" s="1" t="s">
        <v>300</v>
      </c>
      <c r="D40" s="1" t="s">
        <v>206</v>
      </c>
      <c r="E40" s="54">
        <f>Inputs!E194</f>
        <v>8420</v>
      </c>
      <c r="F40" s="54">
        <f>Inputs!F194</f>
        <v>8454</v>
      </c>
      <c r="G40" s="54">
        <f>Inputs!G194</f>
        <v>7519</v>
      </c>
      <c r="H40" s="54">
        <f>Inputs!H194</f>
        <v>7489</v>
      </c>
      <c r="I40" s="54">
        <f>Inputs!I194</f>
        <v>7501</v>
      </c>
      <c r="J40" s="54">
        <f t="shared" si="3"/>
        <v>7584.1941987945202</v>
      </c>
      <c r="K40" s="54">
        <f t="shared" si="3"/>
        <v>7723.2580301589051</v>
      </c>
      <c r="L40" s="54">
        <f t="shared" si="3"/>
        <v>7898.198056131946</v>
      </c>
      <c r="M40" s="54">
        <f t="shared" si="3"/>
        <v>8172.5349332103187</v>
      </c>
      <c r="N40" s="54">
        <f t="shared" si="3"/>
        <v>8470.2717707106258</v>
      </c>
    </row>
    <row r="41" spans="2:14">
      <c r="B41" s="1"/>
      <c r="C41" s="1" t="s">
        <v>301</v>
      </c>
      <c r="D41" s="1" t="s">
        <v>206</v>
      </c>
      <c r="E41" s="54">
        <f>Inputs!E195</f>
        <v>2129</v>
      </c>
      <c r="F41" s="54">
        <f>Inputs!F195</f>
        <v>1942</v>
      </c>
      <c r="G41" s="54">
        <f>Inputs!G195</f>
        <v>1854</v>
      </c>
      <c r="H41" s="54">
        <f>Inputs!H195</f>
        <v>2005</v>
      </c>
      <c r="I41" s="54">
        <f>Inputs!I195</f>
        <v>2144</v>
      </c>
      <c r="J41" s="54">
        <f>J16*Inputs!J25</f>
        <v>2171.4263999999998</v>
      </c>
      <c r="K41" s="54">
        <f>K16*Inputs!K25</f>
        <v>2229.3311039999999</v>
      </c>
      <c r="L41" s="54">
        <f>L16*Inputs!L25</f>
        <v>2298.4910348399999</v>
      </c>
      <c r="M41" s="54">
        <f>M16*Inputs!M25</f>
        <v>2368.5148314828002</v>
      </c>
      <c r="N41" s="54">
        <f>N16*Inputs!N25</f>
        <v>2439.2883103759168</v>
      </c>
    </row>
    <row r="42" spans="2:14">
      <c r="B42" s="1"/>
      <c r="C42" s="1" t="s">
        <v>311</v>
      </c>
      <c r="D42" s="1" t="s">
        <v>206</v>
      </c>
      <c r="E42" s="54">
        <f>Inputs!E203</f>
        <v>3358</v>
      </c>
      <c r="F42" s="54">
        <f>Inputs!F203</f>
        <v>2862</v>
      </c>
      <c r="G42" s="54">
        <f>Inputs!G203</f>
        <v>2851</v>
      </c>
      <c r="H42" s="54">
        <f>Inputs!H203</f>
        <v>3479</v>
      </c>
      <c r="I42" s="54">
        <f>Inputs!I203</f>
        <v>3600</v>
      </c>
      <c r="J42" s="54">
        <f>J17*J37/365</f>
        <v>3679.4605518904104</v>
      </c>
      <c r="K42" s="54">
        <f>K17*K37/365</f>
        <v>3900.6353687671235</v>
      </c>
      <c r="L42" s="54">
        <f>L17*L37/365</f>
        <v>4071.2361114082196</v>
      </c>
      <c r="M42" s="54">
        <f>M17*M37/365</f>
        <v>4341.6591832679815</v>
      </c>
      <c r="N42" s="54">
        <f>N17*N37/365</f>
        <v>4636.3592850205532</v>
      </c>
    </row>
    <row r="43" spans="2:14">
      <c r="B43" s="1"/>
      <c r="C43" s="1" t="s">
        <v>313</v>
      </c>
      <c r="D43" s="1" t="s">
        <v>206</v>
      </c>
      <c r="E43" s="54">
        <f>Inputs!E205</f>
        <v>6220</v>
      </c>
      <c r="F43" s="54">
        <f>Inputs!F205</f>
        <v>5723</v>
      </c>
      <c r="G43" s="54">
        <f>Inputs!G205</f>
        <v>5725</v>
      </c>
      <c r="H43" s="54">
        <f>Inputs!H205</f>
        <v>5916</v>
      </c>
      <c r="I43" s="54">
        <f>Inputs!I205</f>
        <v>6092</v>
      </c>
      <c r="J43" s="54">
        <f>J16*Inputs!J27</f>
        <v>6369.5174399999996</v>
      </c>
      <c r="K43" s="54">
        <f>K16*Inputs!K27</f>
        <v>6586.6600800000006</v>
      </c>
      <c r="L43" s="54">
        <f>L16*Inputs!L27</f>
        <v>6842.0198246400005</v>
      </c>
      <c r="M43" s="54">
        <f>M16*Inputs!M27</f>
        <v>7105.5444944483997</v>
      </c>
      <c r="N43" s="54">
        <f>N16*Inputs!N27</f>
        <v>7377.359767966188</v>
      </c>
    </row>
    <row r="44" spans="2:14">
      <c r="B44" s="1"/>
      <c r="C44" s="1" t="s">
        <v>314</v>
      </c>
      <c r="D44" s="1" t="s">
        <v>206</v>
      </c>
      <c r="E44" s="54">
        <f>Inputs!E206</f>
        <v>222</v>
      </c>
      <c r="F44" s="54">
        <f>Inputs!F206</f>
        <v>240</v>
      </c>
      <c r="G44" s="54">
        <f>Inputs!G206</f>
        <v>534</v>
      </c>
      <c r="H44" s="54">
        <f>Inputs!H206</f>
        <v>669</v>
      </c>
      <c r="I44" s="54">
        <f>Inputs!I206</f>
        <v>377</v>
      </c>
      <c r="J44" s="54">
        <f>J26*Inputs!$M$143</f>
        <v>381.4770860037774</v>
      </c>
      <c r="K44" s="54">
        <f>K26*Inputs!$M$143</f>
        <v>467.78301740367277</v>
      </c>
      <c r="L44" s="54">
        <f>L26*Inputs!$M$143</f>
        <v>570.48396857249429</v>
      </c>
      <c r="M44" s="54">
        <f>M26*Inputs!$M$143</f>
        <v>671.9361702428389</v>
      </c>
      <c r="N44" s="54">
        <f>N26*Inputs!$M$143</f>
        <v>771.29731819945596</v>
      </c>
    </row>
    <row r="45" spans="2:14">
      <c r="B45" s="1"/>
      <c r="C45" s="122" t="s">
        <v>692</v>
      </c>
      <c r="D45" s="122" t="s">
        <v>206</v>
      </c>
      <c r="E45" s="123">
        <f t="shared" ref="E45:N45" si="4">SUM(E39:E41)-SUM(E42:E44)</f>
        <v>5416</v>
      </c>
      <c r="F45" s="123">
        <f t="shared" si="4"/>
        <v>5702</v>
      </c>
      <c r="G45" s="123">
        <f t="shared" si="4"/>
        <v>4690</v>
      </c>
      <c r="H45" s="123">
        <f t="shared" si="4"/>
        <v>4147</v>
      </c>
      <c r="I45" s="123">
        <f t="shared" si="4"/>
        <v>5507</v>
      </c>
      <c r="J45" s="123">
        <f t="shared" si="4"/>
        <v>5142.0764250099219</v>
      </c>
      <c r="K45" s="123">
        <f t="shared" si="4"/>
        <v>4966.4544707278346</v>
      </c>
      <c r="L45" s="123">
        <f t="shared" si="4"/>
        <v>4863.7375561046574</v>
      </c>
      <c r="M45" s="123">
        <f t="shared" si="4"/>
        <v>4756.4897008692387</v>
      </c>
      <c r="N45" s="123">
        <f t="shared" si="4"/>
        <v>4644.5258291811115</v>
      </c>
    </row>
    <row r="46" spans="2:14">
      <c r="B46" s="1"/>
      <c r="C46" s="1" t="s">
        <v>693</v>
      </c>
      <c r="D46" s="1" t="s">
        <v>206</v>
      </c>
      <c r="E46" s="54" t="str">
        <f>""</f>
        <v/>
      </c>
      <c r="F46" s="54">
        <f t="shared" ref="F46:N46" si="5">F45-E45</f>
        <v>286</v>
      </c>
      <c r="G46" s="54">
        <f t="shared" si="5"/>
        <v>-1012</v>
      </c>
      <c r="H46" s="54">
        <f t="shared" si="5"/>
        <v>-543</v>
      </c>
      <c r="I46" s="54">
        <f t="shared" si="5"/>
        <v>1360</v>
      </c>
      <c r="J46" s="54">
        <f t="shared" si="5"/>
        <v>-364.92357499007812</v>
      </c>
      <c r="K46" s="54">
        <f t="shared" si="5"/>
        <v>-175.62195428208724</v>
      </c>
      <c r="L46" s="54">
        <f t="shared" si="5"/>
        <v>-102.71691462317722</v>
      </c>
      <c r="M46" s="54">
        <f t="shared" si="5"/>
        <v>-107.24785523541868</v>
      </c>
      <c r="N46" s="54">
        <f t="shared" si="5"/>
        <v>-111.96387168812726</v>
      </c>
    </row>
    <row r="47" spans="2:14">
      <c r="B47" s="1"/>
      <c r="C47" s="1"/>
      <c r="D47" s="1"/>
      <c r="E47" s="1"/>
      <c r="F47" s="1"/>
      <c r="G47" s="1"/>
      <c r="H47" s="1"/>
      <c r="I47" s="1"/>
      <c r="J47" s="1"/>
      <c r="K47" s="1"/>
      <c r="L47" s="1"/>
      <c r="M47" s="1"/>
      <c r="N47" s="1"/>
    </row>
    <row r="48" spans="2:14">
      <c r="B48" s="1"/>
      <c r="C48" s="1"/>
      <c r="D48" s="1"/>
      <c r="E48" s="1"/>
      <c r="F48" s="1"/>
      <c r="G48" s="1"/>
      <c r="H48" s="1"/>
      <c r="I48" s="1"/>
      <c r="J48" s="1"/>
      <c r="K48" s="1"/>
      <c r="L48" s="1"/>
      <c r="M48" s="1"/>
      <c r="N48" s="1"/>
    </row>
    <row r="49" spans="2:14" ht="21" customHeight="1">
      <c r="B49" s="177" t="s">
        <v>694</v>
      </c>
      <c r="C49" s="177"/>
      <c r="D49" s="177"/>
      <c r="E49" s="194"/>
      <c r="F49" s="194"/>
      <c r="G49" s="194"/>
      <c r="H49" s="194"/>
      <c r="I49" s="194"/>
      <c r="J49" s="194"/>
      <c r="K49" s="194"/>
      <c r="L49" s="194"/>
      <c r="M49" s="194"/>
      <c r="N49" s="194"/>
    </row>
    <row r="50" spans="2:14">
      <c r="B50" s="1"/>
      <c r="C50" s="1"/>
      <c r="D50" s="1"/>
      <c r="E50" s="1"/>
      <c r="F50" s="1"/>
      <c r="G50" s="1"/>
      <c r="H50" s="1"/>
      <c r="I50" s="1"/>
      <c r="J50" s="1"/>
      <c r="K50" s="1"/>
      <c r="L50" s="1"/>
      <c r="M50" s="1"/>
      <c r="N50" s="1"/>
    </row>
    <row r="51" spans="2:14">
      <c r="B51" s="1"/>
      <c r="C51" s="1" t="s">
        <v>695</v>
      </c>
      <c r="D51" s="1" t="s">
        <v>206</v>
      </c>
      <c r="E51" s="54" t="str">
        <f>""</f>
        <v/>
      </c>
      <c r="F51" s="54">
        <f t="shared" ref="F51:N51" si="6">E54</f>
        <v>4791</v>
      </c>
      <c r="G51" s="54">
        <f t="shared" si="6"/>
        <v>5081</v>
      </c>
      <c r="H51" s="54">
        <f t="shared" si="6"/>
        <v>5000</v>
      </c>
      <c r="I51" s="54">
        <f t="shared" si="6"/>
        <v>4828</v>
      </c>
      <c r="J51" s="54">
        <f t="shared" si="6"/>
        <v>4796</v>
      </c>
      <c r="K51" s="54">
        <f t="shared" si="6"/>
        <v>5085.5235199999997</v>
      </c>
      <c r="L51" s="54">
        <f t="shared" si="6"/>
        <v>5338.8565999999992</v>
      </c>
      <c r="M51" s="54">
        <f t="shared" si="6"/>
        <v>5552.6697195199986</v>
      </c>
      <c r="N51" s="54">
        <f t="shared" si="6"/>
        <v>5721.8493503401987</v>
      </c>
    </row>
    <row r="52" spans="2:14">
      <c r="B52" s="1"/>
      <c r="C52" s="1" t="s">
        <v>285</v>
      </c>
      <c r="D52" s="1" t="s">
        <v>206</v>
      </c>
      <c r="E52" s="54">
        <f>Inputs!E180</f>
        <v>758</v>
      </c>
      <c r="F52" s="54">
        <f>Inputs!F180</f>
        <v>969</v>
      </c>
      <c r="G52" s="54">
        <f>Inputs!G180</f>
        <v>812</v>
      </c>
      <c r="H52" s="54">
        <f>Inputs!H180</f>
        <v>430</v>
      </c>
      <c r="I52" s="54">
        <f>Inputs!I180</f>
        <v>684</v>
      </c>
      <c r="J52" s="54">
        <f>J16*(Inputs!J29+Inputs!$G$12)</f>
        <v>1061.5862399999999</v>
      </c>
      <c r="K52" s="54">
        <f>K16*(Inputs!K29+Inputs!$G$12)</f>
        <v>1063.9989360000002</v>
      </c>
      <c r="L52" s="54">
        <f>L16*(Inputs!L29+Inputs!$G$12)</f>
        <v>1069.0655976</v>
      </c>
      <c r="M52" s="54">
        <f>M16*(Inputs!M29+Inputs!$G$12)</f>
        <v>1071.4709951945999</v>
      </c>
      <c r="N52" s="54">
        <f>N16*(Inputs!N29+Inputs!$G$12)</f>
        <v>1070.9070630918659</v>
      </c>
    </row>
    <row r="53" spans="2:14">
      <c r="B53" s="1"/>
      <c r="C53" s="1" t="s">
        <v>275</v>
      </c>
      <c r="D53" s="1" t="s">
        <v>206</v>
      </c>
      <c r="E53" s="54">
        <f>Inputs!E170</f>
        <v>717</v>
      </c>
      <c r="F53" s="54">
        <f>Inputs!F170</f>
        <v>703</v>
      </c>
      <c r="G53" s="54">
        <f>Inputs!G170</f>
        <v>796</v>
      </c>
      <c r="H53" s="54">
        <f>Inputs!H170</f>
        <v>775</v>
      </c>
      <c r="I53" s="54">
        <f>Inputs!I170</f>
        <v>747</v>
      </c>
      <c r="J53" s="54">
        <f>J16*Inputs!J30</f>
        <v>772.06272000000001</v>
      </c>
      <c r="K53" s="54">
        <f>K16*Inputs!K30</f>
        <v>810.66585600000008</v>
      </c>
      <c r="L53" s="54">
        <f>L16*Inputs!L30</f>
        <v>855.25247808000006</v>
      </c>
      <c r="M53" s="54">
        <f>M16*Inputs!M30</f>
        <v>902.29136437440002</v>
      </c>
      <c r="N53" s="54">
        <f>N16*Inputs!N30</f>
        <v>951.91738941499193</v>
      </c>
    </row>
    <row r="54" spans="2:14">
      <c r="B54" s="1"/>
      <c r="C54" s="122" t="s">
        <v>696</v>
      </c>
      <c r="D54" s="122" t="s">
        <v>206</v>
      </c>
      <c r="E54" s="123">
        <f>Inputs!E196</f>
        <v>4791</v>
      </c>
      <c r="F54" s="123">
        <f>Inputs!F196</f>
        <v>5081</v>
      </c>
      <c r="G54" s="123">
        <f>Inputs!G196</f>
        <v>5000</v>
      </c>
      <c r="H54" s="123">
        <f>Inputs!H196</f>
        <v>4828</v>
      </c>
      <c r="I54" s="123">
        <f>Inputs!I196</f>
        <v>4796</v>
      </c>
      <c r="J54" s="123">
        <f>J51+J52-J53</f>
        <v>5085.5235199999997</v>
      </c>
      <c r="K54" s="123">
        <f>K51+K52-K53</f>
        <v>5338.8565999999992</v>
      </c>
      <c r="L54" s="123">
        <f>L51+L52-L53</f>
        <v>5552.6697195199986</v>
      </c>
      <c r="M54" s="123">
        <f>M51+M52-M53</f>
        <v>5721.8493503401987</v>
      </c>
      <c r="N54" s="123">
        <f>N51+N52-N53</f>
        <v>5840.8390240170729</v>
      </c>
    </row>
    <row r="55" spans="2:14">
      <c r="B55" s="1"/>
      <c r="C55" s="1"/>
      <c r="D55" s="1"/>
      <c r="E55" s="54"/>
      <c r="F55" s="54"/>
      <c r="G55" s="54"/>
      <c r="H55" s="54"/>
      <c r="I55" s="54"/>
      <c r="J55" s="54"/>
      <c r="K55" s="54"/>
      <c r="L55" s="54"/>
      <c r="M55" s="54"/>
      <c r="N55" s="54"/>
    </row>
    <row r="56" spans="2:14">
      <c r="B56" s="1"/>
      <c r="C56" s="1" t="s">
        <v>697</v>
      </c>
      <c r="D56" s="1" t="s">
        <v>206</v>
      </c>
      <c r="E56" s="54" t="str">
        <f>""</f>
        <v/>
      </c>
      <c r="F56" s="54">
        <f t="shared" ref="F56:N56" si="7">E58</f>
        <v>9430</v>
      </c>
      <c r="G56" s="54">
        <f t="shared" si="7"/>
        <v>8933</v>
      </c>
      <c r="H56" s="54">
        <f t="shared" si="7"/>
        <v>8909</v>
      </c>
      <c r="I56" s="54">
        <f t="shared" si="7"/>
        <v>7961</v>
      </c>
      <c r="J56" s="54">
        <f t="shared" si="7"/>
        <v>7942</v>
      </c>
      <c r="K56" s="54">
        <f t="shared" si="7"/>
        <v>7442</v>
      </c>
      <c r="L56" s="54">
        <f t="shared" si="7"/>
        <v>6942</v>
      </c>
      <c r="M56" s="54">
        <f t="shared" si="7"/>
        <v>6442</v>
      </c>
      <c r="N56" s="54">
        <f t="shared" si="7"/>
        <v>5942</v>
      </c>
    </row>
    <row r="57" spans="2:14">
      <c r="B57" s="1"/>
      <c r="C57" s="1" t="s">
        <v>207</v>
      </c>
      <c r="D57" s="1" t="s">
        <v>206</v>
      </c>
      <c r="E57" s="54">
        <f>0</f>
        <v>0</v>
      </c>
      <c r="F57" s="54">
        <f>0</f>
        <v>0</v>
      </c>
      <c r="G57" s="54">
        <f>0</f>
        <v>0</v>
      </c>
      <c r="H57" s="54">
        <f>0</f>
        <v>0</v>
      </c>
      <c r="I57" s="54">
        <f>0</f>
        <v>0</v>
      </c>
      <c r="J57" s="54">
        <f>Inputs!J34</f>
        <v>500</v>
      </c>
      <c r="K57" s="54">
        <f>Inputs!K34</f>
        <v>500</v>
      </c>
      <c r="L57" s="54">
        <f>Inputs!L34</f>
        <v>500</v>
      </c>
      <c r="M57" s="54">
        <f>Inputs!M34</f>
        <v>500</v>
      </c>
      <c r="N57" s="54">
        <f>Inputs!N34</f>
        <v>500</v>
      </c>
    </row>
    <row r="58" spans="2:14">
      <c r="B58" s="1"/>
      <c r="C58" s="122" t="s">
        <v>698</v>
      </c>
      <c r="D58" s="122" t="s">
        <v>206</v>
      </c>
      <c r="E58" s="123">
        <f>Inputs!E202+Inputs!E207</f>
        <v>9430</v>
      </c>
      <c r="F58" s="123">
        <f>Inputs!F202+Inputs!F207</f>
        <v>8933</v>
      </c>
      <c r="G58" s="123">
        <f>Inputs!G202+Inputs!G207</f>
        <v>8909</v>
      </c>
      <c r="H58" s="123">
        <f>Inputs!H202+Inputs!H207</f>
        <v>7961</v>
      </c>
      <c r="I58" s="123">
        <f>Inputs!I202+Inputs!I207</f>
        <v>7942</v>
      </c>
      <c r="J58" s="123">
        <f>MAX(0,J56-J57)</f>
        <v>7442</v>
      </c>
      <c r="K58" s="123">
        <f>MAX(0,K56-K57)</f>
        <v>6942</v>
      </c>
      <c r="L58" s="123">
        <f>MAX(0,L56-L57)</f>
        <v>6442</v>
      </c>
      <c r="M58" s="123">
        <f>MAX(0,M56-M57)</f>
        <v>5942</v>
      </c>
      <c r="N58" s="123">
        <f>MAX(0,N56-N57)</f>
        <v>5442</v>
      </c>
    </row>
    <row r="59" spans="2:14">
      <c r="B59" s="1"/>
      <c r="C59" s="1"/>
      <c r="D59" s="1"/>
      <c r="E59" s="54"/>
      <c r="F59" s="54"/>
      <c r="G59" s="54"/>
      <c r="H59" s="54"/>
      <c r="I59" s="54"/>
      <c r="J59" s="54"/>
      <c r="K59" s="54"/>
      <c r="L59" s="54"/>
      <c r="M59" s="54"/>
      <c r="N59" s="54"/>
    </row>
    <row r="60" spans="2:14">
      <c r="B60" s="1"/>
      <c r="C60" s="1" t="s">
        <v>699</v>
      </c>
      <c r="D60" s="1" t="s">
        <v>206</v>
      </c>
      <c r="E60" s="54" t="str">
        <f>""</f>
        <v/>
      </c>
      <c r="F60" s="54">
        <f t="shared" ref="F60:N60" si="8">E63</f>
        <v>11484</v>
      </c>
      <c r="G60" s="54">
        <f t="shared" si="8"/>
        <v>12412</v>
      </c>
      <c r="H60" s="54">
        <f t="shared" si="8"/>
        <v>13409</v>
      </c>
      <c r="I60" s="54">
        <f t="shared" si="8"/>
        <v>14195</v>
      </c>
      <c r="J60" s="54">
        <f t="shared" si="8"/>
        <v>15158</v>
      </c>
      <c r="K60" s="54">
        <f t="shared" si="8"/>
        <v>16031.808800000001</v>
      </c>
      <c r="L60" s="54">
        <f t="shared" si="8"/>
        <v>16941.80804</v>
      </c>
      <c r="M60" s="54">
        <f t="shared" si="8"/>
        <v>17893.607238199998</v>
      </c>
      <c r="N60" s="54">
        <f t="shared" si="8"/>
        <v>18889.505392300998</v>
      </c>
    </row>
    <row r="61" spans="2:14">
      <c r="B61" s="1"/>
      <c r="C61" s="1" t="s">
        <v>700</v>
      </c>
      <c r="D61" s="1" t="s">
        <v>206</v>
      </c>
      <c r="E61" s="54">
        <f>Inputs!E171</f>
        <v>638</v>
      </c>
      <c r="F61" s="54">
        <f>Inputs!F171</f>
        <v>755</v>
      </c>
      <c r="G61" s="54">
        <f>Inputs!G171</f>
        <v>804</v>
      </c>
      <c r="H61" s="54">
        <f>Inputs!H171</f>
        <v>709</v>
      </c>
      <c r="I61" s="54">
        <f>Inputs!I171</f>
        <v>715</v>
      </c>
      <c r="J61" s="54">
        <f>J16*Inputs!J31</f>
        <v>723.80879999999991</v>
      </c>
      <c r="K61" s="54">
        <f>K16*Inputs!K31</f>
        <v>759.99923999999999</v>
      </c>
      <c r="L61" s="54">
        <f>L16*Inputs!L31</f>
        <v>801.79919819999998</v>
      </c>
      <c r="M61" s="54">
        <f>M16*Inputs!M31</f>
        <v>845.89815410099993</v>
      </c>
      <c r="N61" s="54">
        <f>N16*Inputs!N31</f>
        <v>892.42255257655495</v>
      </c>
    </row>
    <row r="62" spans="2:14">
      <c r="B62" s="1"/>
      <c r="C62" s="1" t="s">
        <v>208</v>
      </c>
      <c r="D62" s="1" t="s">
        <v>206</v>
      </c>
      <c r="E62" s="54">
        <f>0</f>
        <v>0</v>
      </c>
      <c r="F62" s="54">
        <f>0</f>
        <v>0</v>
      </c>
      <c r="G62" s="54">
        <f>0</f>
        <v>0</v>
      </c>
      <c r="H62" s="54">
        <f>0</f>
        <v>0</v>
      </c>
      <c r="I62" s="54">
        <f>0</f>
        <v>0</v>
      </c>
      <c r="J62" s="54">
        <f>Inputs!J35</f>
        <v>150</v>
      </c>
      <c r="K62" s="54">
        <f>Inputs!K35</f>
        <v>150</v>
      </c>
      <c r="L62" s="54">
        <f>Inputs!L35</f>
        <v>150</v>
      </c>
      <c r="M62" s="54">
        <f>Inputs!M35</f>
        <v>150</v>
      </c>
      <c r="N62" s="54">
        <f>Inputs!N35</f>
        <v>150</v>
      </c>
    </row>
    <row r="63" spans="2:14">
      <c r="B63" s="1"/>
      <c r="C63" s="122" t="s">
        <v>701</v>
      </c>
      <c r="D63" s="122" t="s">
        <v>206</v>
      </c>
      <c r="E63" s="123">
        <f>Inputs!E211</f>
        <v>11484</v>
      </c>
      <c r="F63" s="123">
        <f>Inputs!F211</f>
        <v>12412</v>
      </c>
      <c r="G63" s="123">
        <f>Inputs!G211</f>
        <v>13409</v>
      </c>
      <c r="H63" s="123">
        <f>Inputs!H211</f>
        <v>14195</v>
      </c>
      <c r="I63" s="123">
        <f>Inputs!I211</f>
        <v>15158</v>
      </c>
      <c r="J63" s="123">
        <f>J60+J61+J62</f>
        <v>16031.808800000001</v>
      </c>
      <c r="K63" s="123">
        <f>K60+K61+K62</f>
        <v>16941.80804</v>
      </c>
      <c r="L63" s="123">
        <f>L60+L61+L62</f>
        <v>17893.607238199998</v>
      </c>
      <c r="M63" s="123">
        <f>M60+M61+M62</f>
        <v>18889.505392300998</v>
      </c>
      <c r="N63" s="123">
        <f>N60+N61+N62</f>
        <v>19931.927944877552</v>
      </c>
    </row>
    <row r="64" spans="2:14">
      <c r="B64" s="1"/>
      <c r="C64" s="1"/>
      <c r="D64" s="1"/>
      <c r="E64" s="54"/>
      <c r="F64" s="54"/>
      <c r="G64" s="54"/>
      <c r="H64" s="54"/>
      <c r="I64" s="54"/>
      <c r="J64" s="54"/>
      <c r="K64" s="54"/>
      <c r="L64" s="54"/>
      <c r="M64" s="54"/>
      <c r="N64" s="54"/>
    </row>
    <row r="65" spans="2:14">
      <c r="B65" s="1"/>
      <c r="C65" s="1" t="s">
        <v>702</v>
      </c>
      <c r="D65" s="1" t="s">
        <v>206</v>
      </c>
      <c r="E65" s="54" t="str">
        <f>""</f>
        <v/>
      </c>
      <c r="F65" s="54">
        <f t="shared" ref="F65:N65" si="9">E69</f>
        <v>3476</v>
      </c>
      <c r="G65" s="54">
        <f t="shared" si="9"/>
        <v>1358</v>
      </c>
      <c r="H65" s="54">
        <f t="shared" si="9"/>
        <v>965</v>
      </c>
      <c r="I65" s="54">
        <f t="shared" si="9"/>
        <v>-727</v>
      </c>
      <c r="J65" s="54">
        <f t="shared" si="9"/>
        <v>-155</v>
      </c>
      <c r="K65" s="54">
        <f t="shared" si="9"/>
        <v>393.40381379735572</v>
      </c>
      <c r="L65" s="54">
        <f t="shared" si="9"/>
        <v>1289.1939946366838</v>
      </c>
      <c r="M65" s="54">
        <f t="shared" si="9"/>
        <v>2581.0187285627367</v>
      </c>
      <c r="N65" s="54">
        <f t="shared" si="9"/>
        <v>4297.016918830991</v>
      </c>
    </row>
    <row r="66" spans="2:14">
      <c r="B66" s="1"/>
      <c r="C66" s="1" t="s">
        <v>111</v>
      </c>
      <c r="D66" s="1" t="s">
        <v>206</v>
      </c>
      <c r="E66" s="54">
        <f>Inputs!E167</f>
        <v>6046</v>
      </c>
      <c r="F66" s="54">
        <f>Inputs!F167</f>
        <v>5070</v>
      </c>
      <c r="G66" s="54">
        <f>Inputs!G167</f>
        <v>5700</v>
      </c>
      <c r="H66" s="54">
        <f>Inputs!H167</f>
        <v>3219</v>
      </c>
      <c r="I66" s="54">
        <f>Inputs!I167</f>
        <v>3108</v>
      </c>
      <c r="J66" s="54">
        <f>J28</f>
        <v>2995.4394679924449</v>
      </c>
      <c r="K66" s="54">
        <f>K28</f>
        <v>3673.1320548403369</v>
      </c>
      <c r="L66" s="54">
        <f>L28</f>
        <v>4479.561834815132</v>
      </c>
      <c r="M66" s="54">
        <f>M28</f>
        <v>5276.1861673053681</v>
      </c>
      <c r="N66" s="54">
        <f>N28</f>
        <v>6056.3910999060645</v>
      </c>
    </row>
    <row r="67" spans="2:14">
      <c r="B67" s="1"/>
      <c r="C67" s="1" t="s">
        <v>703</v>
      </c>
      <c r="D67" s="1" t="s">
        <v>206</v>
      </c>
      <c r="E67" s="54">
        <f>Inputs!E184</f>
        <v>1837</v>
      </c>
      <c r="F67" s="54">
        <f>Inputs!F184</f>
        <v>2012</v>
      </c>
      <c r="G67" s="54">
        <f>Inputs!G184</f>
        <v>2169</v>
      </c>
      <c r="H67" s="54">
        <f>Inputs!H184</f>
        <v>2300</v>
      </c>
      <c r="I67" s="54">
        <f>Inputs!I184</f>
        <v>2407</v>
      </c>
      <c r="J67" s="54">
        <f>J28*Inputs!J32</f>
        <v>1947.0356541950891</v>
      </c>
      <c r="K67" s="54">
        <f>K28*Inputs!K32</f>
        <v>2277.3418740010088</v>
      </c>
      <c r="L67" s="54">
        <f>L28*Inputs!L32</f>
        <v>2687.7371008890791</v>
      </c>
      <c r="M67" s="54">
        <f>M28*Inputs!M32</f>
        <v>3060.1879770371133</v>
      </c>
      <c r="N67" s="54">
        <f>N28*Inputs!N32</f>
        <v>3331.0151049483356</v>
      </c>
    </row>
    <row r="68" spans="2:14">
      <c r="B68" s="1"/>
      <c r="C68" s="1" t="s">
        <v>205</v>
      </c>
      <c r="D68" s="1" t="s">
        <v>206</v>
      </c>
      <c r="E68" s="54">
        <f>Inputs!E185</f>
        <v>4014</v>
      </c>
      <c r="F68" s="54">
        <f>Inputs!F185</f>
        <v>5480</v>
      </c>
      <c r="G68" s="54">
        <f>Inputs!G185</f>
        <v>4250</v>
      </c>
      <c r="H68" s="54">
        <f>Inputs!H185</f>
        <v>2985</v>
      </c>
      <c r="I68" s="54">
        <f>Inputs!I185</f>
        <v>146</v>
      </c>
      <c r="J68" s="54">
        <f>Inputs!J33</f>
        <v>500</v>
      </c>
      <c r="K68" s="54">
        <f>Inputs!K33</f>
        <v>500</v>
      </c>
      <c r="L68" s="54">
        <f>Inputs!L33</f>
        <v>500</v>
      </c>
      <c r="M68" s="54">
        <f>Inputs!M33</f>
        <v>500</v>
      </c>
      <c r="N68" s="54">
        <f>Inputs!N33</f>
        <v>500</v>
      </c>
    </row>
    <row r="69" spans="2:14">
      <c r="B69" s="1"/>
      <c r="C69" s="122" t="s">
        <v>704</v>
      </c>
      <c r="D69" s="122" t="s">
        <v>206</v>
      </c>
      <c r="E69" s="123">
        <f>Inputs!E213</f>
        <v>3476</v>
      </c>
      <c r="F69" s="123">
        <f>Inputs!F213</f>
        <v>1358</v>
      </c>
      <c r="G69" s="123">
        <f>Inputs!G213</f>
        <v>965</v>
      </c>
      <c r="H69" s="123">
        <f>Inputs!H213</f>
        <v>-727</v>
      </c>
      <c r="I69" s="123">
        <f>Inputs!I213</f>
        <v>-155</v>
      </c>
      <c r="J69" s="123">
        <f>J65+J66-J67-J68</f>
        <v>393.40381379735572</v>
      </c>
      <c r="K69" s="123">
        <f>K65+K66-K67-K68</f>
        <v>1289.1939946366838</v>
      </c>
      <c r="L69" s="123">
        <f>L65+L66-L67-L68</f>
        <v>2581.0187285627367</v>
      </c>
      <c r="M69" s="123">
        <f>M65+M66-M67-M68</f>
        <v>4297.016918830991</v>
      </c>
      <c r="N69" s="123">
        <f>N65+N66-N67-N68</f>
        <v>6522.3929137887208</v>
      </c>
    </row>
    <row r="70" spans="2:14">
      <c r="B70" s="1"/>
      <c r="C70" s="1"/>
      <c r="D70" s="1"/>
      <c r="E70" s="1"/>
      <c r="F70" s="1"/>
      <c r="G70" s="1"/>
      <c r="H70" s="1"/>
      <c r="I70" s="1"/>
      <c r="J70" s="1"/>
      <c r="K70" s="1"/>
      <c r="L70" s="1"/>
      <c r="M70" s="1"/>
      <c r="N70" s="1"/>
    </row>
    <row r="71" spans="2:14">
      <c r="B71" s="1"/>
      <c r="C71" s="1"/>
      <c r="D71" s="1"/>
      <c r="E71" s="1"/>
      <c r="F71" s="1"/>
      <c r="G71" s="1"/>
      <c r="H71" s="1"/>
      <c r="I71" s="1"/>
      <c r="J71" s="1"/>
      <c r="K71" s="1"/>
      <c r="L71" s="1"/>
      <c r="M71" s="1"/>
      <c r="N71" s="1"/>
    </row>
    <row r="72" spans="2:14" ht="21" customHeight="1">
      <c r="B72" s="177" t="s">
        <v>705</v>
      </c>
      <c r="C72" s="177"/>
      <c r="D72" s="177"/>
      <c r="E72" s="194"/>
      <c r="F72" s="194"/>
      <c r="G72" s="194"/>
      <c r="H72" s="194"/>
      <c r="I72" s="194"/>
      <c r="J72" s="194"/>
      <c r="K72" s="194"/>
      <c r="L72" s="194"/>
      <c r="M72" s="194"/>
      <c r="N72" s="194"/>
    </row>
    <row r="73" spans="2:14">
      <c r="B73" s="1"/>
      <c r="C73" s="1"/>
      <c r="D73" s="1"/>
      <c r="E73" s="1"/>
      <c r="F73" s="1"/>
      <c r="G73" s="1"/>
      <c r="H73" s="1"/>
      <c r="I73" s="1"/>
      <c r="J73" s="1"/>
      <c r="K73" s="1"/>
      <c r="L73" s="1"/>
      <c r="M73" s="1"/>
      <c r="N73" s="1"/>
    </row>
    <row r="74" spans="2:14">
      <c r="B74" s="1"/>
      <c r="C74" s="1" t="s">
        <v>297</v>
      </c>
      <c r="D74" s="1" t="s">
        <v>206</v>
      </c>
      <c r="E74" s="54">
        <f>Inputs!E191</f>
        <v>8574</v>
      </c>
      <c r="F74" s="54">
        <f>Inputs!F191</f>
        <v>7441</v>
      </c>
      <c r="G74" s="54">
        <f>Inputs!G191</f>
        <v>9860</v>
      </c>
      <c r="H74" s="54">
        <f>Inputs!H191</f>
        <v>7464</v>
      </c>
      <c r="I74" s="54">
        <f>Inputs!I191</f>
        <v>7563</v>
      </c>
      <c r="J74" s="54">
        <f>J135</f>
        <v>8289.9418259074337</v>
      </c>
      <c r="K74" s="54">
        <f>K135</f>
        <v>9399.93312800485</v>
      </c>
      <c r="L74" s="54">
        <f>L135</f>
        <v>10889.807984553761</v>
      </c>
      <c r="M74" s="54">
        <f>M135</f>
        <v>12895.153635557293</v>
      </c>
      <c r="N74" s="54">
        <f>N135</f>
        <v>15509.556675974014</v>
      </c>
    </row>
    <row r="75" spans="2:14">
      <c r="B75" s="1"/>
      <c r="C75" s="1" t="s">
        <v>298</v>
      </c>
      <c r="D75" s="1" t="s">
        <v>206</v>
      </c>
      <c r="E75" s="54">
        <f>Inputs!E192</f>
        <v>4423</v>
      </c>
      <c r="F75" s="54">
        <f>Inputs!F192</f>
        <v>3234</v>
      </c>
      <c r="G75" s="54">
        <f>Inputs!G192</f>
        <v>1722</v>
      </c>
      <c r="H75" s="54">
        <f>Inputs!H192</f>
        <v>1687</v>
      </c>
      <c r="I75" s="54">
        <f>Inputs!I192</f>
        <v>1464</v>
      </c>
      <c r="J75" s="54">
        <f>J16*Inputs!J36</f>
        <v>1447.6175999999998</v>
      </c>
      <c r="K75" s="54">
        <f>K16*Inputs!K36</f>
        <v>1469.3318640000002</v>
      </c>
      <c r="L75" s="54">
        <f>L16*Inputs!L36</f>
        <v>1496.69183664</v>
      </c>
      <c r="M75" s="54">
        <f>M16*Inputs!M36</f>
        <v>1522.6166773817999</v>
      </c>
      <c r="N75" s="54">
        <f>N16*Inputs!N36</f>
        <v>1546.8657577993617</v>
      </c>
    </row>
    <row r="76" spans="2:14">
      <c r="B76" s="1"/>
      <c r="C76" s="1" t="s">
        <v>299</v>
      </c>
      <c r="D76" s="1" t="s">
        <v>206</v>
      </c>
      <c r="E76" s="54">
        <f>Inputs!E193</f>
        <v>4667</v>
      </c>
      <c r="F76" s="54">
        <f>Inputs!F193</f>
        <v>4131</v>
      </c>
      <c r="G76" s="54">
        <f>Inputs!G193</f>
        <v>4427</v>
      </c>
      <c r="H76" s="54">
        <f>Inputs!H193</f>
        <v>4717</v>
      </c>
      <c r="I76" s="54">
        <f>Inputs!I193</f>
        <v>5931</v>
      </c>
      <c r="J76" s="54">
        <f t="shared" ref="J76:N78" si="10">J39</f>
        <v>5816.910904109589</v>
      </c>
      <c r="K76" s="54">
        <f t="shared" si="10"/>
        <v>5968.9438027397255</v>
      </c>
      <c r="L76" s="54">
        <f t="shared" si="10"/>
        <v>6150.7883697534244</v>
      </c>
      <c r="M76" s="54">
        <f t="shared" si="10"/>
        <v>6334.5797841353415</v>
      </c>
      <c r="N76" s="54">
        <f t="shared" si="10"/>
        <v>6519.9821192807667</v>
      </c>
    </row>
    <row r="77" spans="2:14">
      <c r="B77" s="1"/>
      <c r="C77" s="1" t="s">
        <v>300</v>
      </c>
      <c r="D77" s="1" t="s">
        <v>206</v>
      </c>
      <c r="E77" s="54">
        <f>Inputs!E194</f>
        <v>8420</v>
      </c>
      <c r="F77" s="54">
        <f>Inputs!F194</f>
        <v>8454</v>
      </c>
      <c r="G77" s="54">
        <f>Inputs!G194</f>
        <v>7519</v>
      </c>
      <c r="H77" s="54">
        <f>Inputs!H194</f>
        <v>7489</v>
      </c>
      <c r="I77" s="54">
        <f>Inputs!I194</f>
        <v>7501</v>
      </c>
      <c r="J77" s="54">
        <f t="shared" si="10"/>
        <v>7584.1941987945202</v>
      </c>
      <c r="K77" s="54">
        <f t="shared" si="10"/>
        <v>7723.2580301589051</v>
      </c>
      <c r="L77" s="54">
        <f t="shared" si="10"/>
        <v>7898.198056131946</v>
      </c>
      <c r="M77" s="54">
        <f t="shared" si="10"/>
        <v>8172.5349332103187</v>
      </c>
      <c r="N77" s="54">
        <f t="shared" si="10"/>
        <v>8470.2717707106258</v>
      </c>
    </row>
    <row r="78" spans="2:14">
      <c r="B78" s="1"/>
      <c r="C78" s="1" t="s">
        <v>301</v>
      </c>
      <c r="D78" s="1" t="s">
        <v>206</v>
      </c>
      <c r="E78" s="54">
        <f>Inputs!E195</f>
        <v>2129</v>
      </c>
      <c r="F78" s="54">
        <f>Inputs!F195</f>
        <v>1942</v>
      </c>
      <c r="G78" s="54">
        <f>Inputs!G195</f>
        <v>1854</v>
      </c>
      <c r="H78" s="54">
        <f>Inputs!H195</f>
        <v>2005</v>
      </c>
      <c r="I78" s="54">
        <f>Inputs!I195</f>
        <v>2144</v>
      </c>
      <c r="J78" s="54">
        <f t="shared" si="10"/>
        <v>2171.4263999999998</v>
      </c>
      <c r="K78" s="54">
        <f t="shared" si="10"/>
        <v>2229.3311039999999</v>
      </c>
      <c r="L78" s="54">
        <f t="shared" si="10"/>
        <v>2298.4910348399999</v>
      </c>
      <c r="M78" s="54">
        <f t="shared" si="10"/>
        <v>2368.5148314828002</v>
      </c>
      <c r="N78" s="54">
        <f t="shared" si="10"/>
        <v>2439.2883103759168</v>
      </c>
    </row>
    <row r="79" spans="2:14">
      <c r="B79" s="1"/>
      <c r="C79" s="122" t="s">
        <v>706</v>
      </c>
      <c r="D79" s="122" t="s">
        <v>206</v>
      </c>
      <c r="E79" s="123">
        <f t="shared" ref="E79:N79" si="11">SUM(E74:E78)</f>
        <v>28213</v>
      </c>
      <c r="F79" s="123">
        <f t="shared" si="11"/>
        <v>25202</v>
      </c>
      <c r="G79" s="123">
        <f t="shared" si="11"/>
        <v>25382</v>
      </c>
      <c r="H79" s="123">
        <f t="shared" si="11"/>
        <v>23362</v>
      </c>
      <c r="I79" s="123">
        <f t="shared" si="11"/>
        <v>24603</v>
      </c>
      <c r="J79" s="123">
        <f t="shared" si="11"/>
        <v>25310.090928811544</v>
      </c>
      <c r="K79" s="123">
        <f t="shared" si="11"/>
        <v>26790.797928903481</v>
      </c>
      <c r="L79" s="123">
        <f t="shared" si="11"/>
        <v>28733.977281919135</v>
      </c>
      <c r="M79" s="123">
        <f t="shared" si="11"/>
        <v>31293.399861767553</v>
      </c>
      <c r="N79" s="123">
        <f t="shared" si="11"/>
        <v>34485.964634140684</v>
      </c>
    </row>
    <row r="80" spans="2:14">
      <c r="B80" s="1"/>
      <c r="C80" s="1" t="s">
        <v>302</v>
      </c>
      <c r="D80" s="1" t="s">
        <v>206</v>
      </c>
      <c r="E80" s="54">
        <f>Inputs!E196</f>
        <v>4791</v>
      </c>
      <c r="F80" s="54">
        <f>Inputs!F196</f>
        <v>5081</v>
      </c>
      <c r="G80" s="54">
        <f>Inputs!G196</f>
        <v>5000</v>
      </c>
      <c r="H80" s="54">
        <f>Inputs!H196</f>
        <v>4828</v>
      </c>
      <c r="I80" s="54">
        <f>Inputs!I196</f>
        <v>4796</v>
      </c>
      <c r="J80" s="54">
        <f>J54</f>
        <v>5085.5235199999997</v>
      </c>
      <c r="K80" s="54">
        <f>K54</f>
        <v>5338.8565999999992</v>
      </c>
      <c r="L80" s="54">
        <f>L54</f>
        <v>5552.6697195199986</v>
      </c>
      <c r="M80" s="54">
        <f>M54</f>
        <v>5721.8493503401987</v>
      </c>
      <c r="N80" s="54">
        <f>N54</f>
        <v>5840.8390240170729</v>
      </c>
    </row>
    <row r="81" spans="2:14">
      <c r="B81" s="1"/>
      <c r="C81" s="1" t="s">
        <v>303</v>
      </c>
      <c r="D81" s="1" t="s">
        <v>206</v>
      </c>
      <c r="E81" s="54">
        <f>Inputs!E197</f>
        <v>2926</v>
      </c>
      <c r="F81" s="54">
        <f>Inputs!F197</f>
        <v>2923</v>
      </c>
      <c r="G81" s="54">
        <f>Inputs!G197</f>
        <v>2718</v>
      </c>
      <c r="H81" s="54">
        <f>Inputs!H197</f>
        <v>2712</v>
      </c>
      <c r="I81" s="54">
        <f>Inputs!I197</f>
        <v>2838</v>
      </c>
      <c r="J81" s="54">
        <f>J16*Inputs!J37</f>
        <v>2895.2351999999996</v>
      </c>
      <c r="K81" s="54">
        <f>K16*Inputs!K37</f>
        <v>2938.6637280000004</v>
      </c>
      <c r="L81" s="54">
        <f>L16*Inputs!L37</f>
        <v>2993.38367328</v>
      </c>
      <c r="M81" s="54">
        <f>M16*Inputs!M37</f>
        <v>3045.2333547635999</v>
      </c>
      <c r="N81" s="54">
        <f>N16*Inputs!N37</f>
        <v>3093.7315155987235</v>
      </c>
    </row>
    <row r="82" spans="2:14">
      <c r="B82" s="1"/>
      <c r="C82" s="1" t="s">
        <v>304</v>
      </c>
      <c r="D82" s="1" t="s">
        <v>206</v>
      </c>
      <c r="E82" s="54">
        <f>Inputs!E198</f>
        <v>286</v>
      </c>
      <c r="F82" s="54">
        <f>Inputs!F198</f>
        <v>274</v>
      </c>
      <c r="G82" s="54">
        <f>Inputs!G198</f>
        <v>259</v>
      </c>
      <c r="H82" s="54">
        <f>Inputs!H198</f>
        <v>259</v>
      </c>
      <c r="I82" s="54">
        <f>Inputs!I198</f>
        <v>259</v>
      </c>
      <c r="J82" s="54">
        <f t="shared" ref="J82:N83" si="12">I82</f>
        <v>259</v>
      </c>
      <c r="K82" s="54">
        <f t="shared" si="12"/>
        <v>259</v>
      </c>
      <c r="L82" s="54">
        <f t="shared" si="12"/>
        <v>259</v>
      </c>
      <c r="M82" s="54">
        <f t="shared" si="12"/>
        <v>259</v>
      </c>
      <c r="N82" s="54">
        <f t="shared" si="12"/>
        <v>259</v>
      </c>
    </row>
    <row r="83" spans="2:14">
      <c r="B83" s="1"/>
      <c r="C83" s="1" t="s">
        <v>305</v>
      </c>
      <c r="D83" s="1" t="s">
        <v>206</v>
      </c>
      <c r="E83" s="54">
        <f>Inputs!E199</f>
        <v>284</v>
      </c>
      <c r="F83" s="54">
        <f>Inputs!F199</f>
        <v>281</v>
      </c>
      <c r="G83" s="54">
        <f>Inputs!G199</f>
        <v>240</v>
      </c>
      <c r="H83" s="54">
        <f>Inputs!H199</f>
        <v>240</v>
      </c>
      <c r="I83" s="54">
        <f>Inputs!I199</f>
        <v>240</v>
      </c>
      <c r="J83" s="54">
        <f t="shared" si="12"/>
        <v>240</v>
      </c>
      <c r="K83" s="54">
        <f t="shared" si="12"/>
        <v>240</v>
      </c>
      <c r="L83" s="54">
        <f t="shared" si="12"/>
        <v>240</v>
      </c>
      <c r="M83" s="54">
        <f t="shared" si="12"/>
        <v>240</v>
      </c>
      <c r="N83" s="54">
        <f t="shared" si="12"/>
        <v>240</v>
      </c>
    </row>
    <row r="84" spans="2:14">
      <c r="B84" s="1"/>
      <c r="C84" s="1" t="s">
        <v>306</v>
      </c>
      <c r="D84" s="1" t="s">
        <v>206</v>
      </c>
      <c r="E84" s="54">
        <f>Inputs!E200</f>
        <v>3821</v>
      </c>
      <c r="F84" s="54">
        <f>Inputs!F200</f>
        <v>3770</v>
      </c>
      <c r="G84" s="54">
        <f>Inputs!G200</f>
        <v>4511</v>
      </c>
      <c r="H84" s="54">
        <f>Inputs!H200</f>
        <v>5178</v>
      </c>
      <c r="I84" s="54">
        <f>Inputs!I200</f>
        <v>5674</v>
      </c>
      <c r="J84" s="54">
        <f>J16*Inputs!J26</f>
        <v>5838.7243199999994</v>
      </c>
      <c r="K84" s="54">
        <f>K16*Inputs!K26</f>
        <v>6029.3273040000004</v>
      </c>
      <c r="L84" s="54">
        <f>L16*Inputs!L26</f>
        <v>6254.0337459600005</v>
      </c>
      <c r="M84" s="54">
        <f>M16*Inputs!M26</f>
        <v>6485.2191814410007</v>
      </c>
      <c r="N84" s="54">
        <f>N16*Inputs!N26</f>
        <v>6722.9165627433813</v>
      </c>
    </row>
    <row r="85" spans="2:14">
      <c r="B85" s="1"/>
      <c r="C85" s="122" t="s">
        <v>307</v>
      </c>
      <c r="D85" s="122" t="s">
        <v>206</v>
      </c>
      <c r="E85" s="123">
        <f t="shared" ref="E85:N85" si="13">SUM(E79:E84)</f>
        <v>40321</v>
      </c>
      <c r="F85" s="123">
        <f t="shared" si="13"/>
        <v>37531</v>
      </c>
      <c r="G85" s="123">
        <f t="shared" si="13"/>
        <v>38110</v>
      </c>
      <c r="H85" s="123">
        <f t="shared" si="13"/>
        <v>36579</v>
      </c>
      <c r="I85" s="123">
        <f t="shared" si="13"/>
        <v>38410</v>
      </c>
      <c r="J85" s="123">
        <f t="shared" si="13"/>
        <v>39628.573968811543</v>
      </c>
      <c r="K85" s="123">
        <f t="shared" si="13"/>
        <v>41596.645560903482</v>
      </c>
      <c r="L85" s="123">
        <f t="shared" si="13"/>
        <v>44033.064420679126</v>
      </c>
      <c r="M85" s="123">
        <f t="shared" si="13"/>
        <v>47044.701748312356</v>
      </c>
      <c r="N85" s="123">
        <f t="shared" si="13"/>
        <v>50642.451736499861</v>
      </c>
    </row>
    <row r="86" spans="2:14">
      <c r="B86" s="1"/>
      <c r="C86" s="1"/>
      <c r="D86" s="1"/>
      <c r="E86" s="54"/>
      <c r="F86" s="54"/>
      <c r="G86" s="54"/>
      <c r="H86" s="54"/>
      <c r="I86" s="54"/>
      <c r="J86" s="54"/>
      <c r="K86" s="54"/>
      <c r="L86" s="54"/>
      <c r="M86" s="54"/>
      <c r="N86" s="54"/>
    </row>
    <row r="87" spans="2:14">
      <c r="B87" s="1"/>
      <c r="C87" s="1" t="s">
        <v>311</v>
      </c>
      <c r="D87" s="1" t="s">
        <v>206</v>
      </c>
      <c r="E87" s="54">
        <f>Inputs!E203</f>
        <v>3358</v>
      </c>
      <c r="F87" s="54">
        <f>Inputs!F203</f>
        <v>2862</v>
      </c>
      <c r="G87" s="54">
        <f>Inputs!G203</f>
        <v>2851</v>
      </c>
      <c r="H87" s="54">
        <f>Inputs!H203</f>
        <v>3479</v>
      </c>
      <c r="I87" s="54">
        <f>Inputs!I203</f>
        <v>3600</v>
      </c>
      <c r="J87" s="54">
        <f>J42</f>
        <v>3679.4605518904104</v>
      </c>
      <c r="K87" s="54">
        <f>K42</f>
        <v>3900.6353687671235</v>
      </c>
      <c r="L87" s="54">
        <f>L42</f>
        <v>4071.2361114082196</v>
      </c>
      <c r="M87" s="54">
        <f>M42</f>
        <v>4341.6591832679815</v>
      </c>
      <c r="N87" s="54">
        <f>N42</f>
        <v>4636.3592850205532</v>
      </c>
    </row>
    <row r="88" spans="2:14">
      <c r="B88" s="1"/>
      <c r="C88" s="1" t="s">
        <v>312</v>
      </c>
      <c r="D88" s="1" t="s">
        <v>206</v>
      </c>
      <c r="E88" s="54">
        <f>Inputs!E204</f>
        <v>420</v>
      </c>
      <c r="F88" s="54">
        <f>Inputs!F204</f>
        <v>425</v>
      </c>
      <c r="G88" s="54">
        <f>Inputs!G204</f>
        <v>477</v>
      </c>
      <c r="H88" s="54">
        <f>Inputs!H204</f>
        <v>502</v>
      </c>
      <c r="I88" s="54">
        <f>Inputs!I204</f>
        <v>478</v>
      </c>
      <c r="J88" s="54">
        <f>J81*Inputs!$M$142</f>
        <v>434.28527999999994</v>
      </c>
      <c r="K88" s="54">
        <f>K81*Inputs!$M$142</f>
        <v>440.79955920000003</v>
      </c>
      <c r="L88" s="54">
        <f>L81*Inputs!$M$142</f>
        <v>449.00755099200001</v>
      </c>
      <c r="M88" s="54">
        <f>M81*Inputs!$M$142</f>
        <v>456.78500321453998</v>
      </c>
      <c r="N88" s="54">
        <f>N81*Inputs!$M$142</f>
        <v>464.05972733980849</v>
      </c>
    </row>
    <row r="89" spans="2:14">
      <c r="B89" s="1"/>
      <c r="C89" s="1" t="s">
        <v>313</v>
      </c>
      <c r="D89" s="1" t="s">
        <v>206</v>
      </c>
      <c r="E89" s="54">
        <f>Inputs!E205</f>
        <v>6220</v>
      </c>
      <c r="F89" s="54">
        <f>Inputs!F205</f>
        <v>5723</v>
      </c>
      <c r="G89" s="54">
        <f>Inputs!G205</f>
        <v>5725</v>
      </c>
      <c r="H89" s="54">
        <f>Inputs!H205</f>
        <v>5916</v>
      </c>
      <c r="I89" s="54">
        <f>Inputs!I205</f>
        <v>6092</v>
      </c>
      <c r="J89" s="54">
        <f t="shared" ref="J89:N90" si="14">J43</f>
        <v>6369.5174399999996</v>
      </c>
      <c r="K89" s="54">
        <f t="shared" si="14"/>
        <v>6586.6600800000006</v>
      </c>
      <c r="L89" s="54">
        <f t="shared" si="14"/>
        <v>6842.0198246400005</v>
      </c>
      <c r="M89" s="54">
        <f t="shared" si="14"/>
        <v>7105.5444944483997</v>
      </c>
      <c r="N89" s="54">
        <f t="shared" si="14"/>
        <v>7377.359767966188</v>
      </c>
    </row>
    <row r="90" spans="2:14">
      <c r="B90" s="1"/>
      <c r="C90" s="1" t="s">
        <v>314</v>
      </c>
      <c r="D90" s="1" t="s">
        <v>206</v>
      </c>
      <c r="E90" s="54">
        <f>Inputs!E206</f>
        <v>222</v>
      </c>
      <c r="F90" s="54">
        <f>Inputs!F206</f>
        <v>240</v>
      </c>
      <c r="G90" s="54">
        <f>Inputs!G206</f>
        <v>534</v>
      </c>
      <c r="H90" s="54">
        <f>Inputs!H206</f>
        <v>669</v>
      </c>
      <c r="I90" s="54">
        <f>Inputs!I206</f>
        <v>377</v>
      </c>
      <c r="J90" s="54">
        <f t="shared" si="14"/>
        <v>381.4770860037774</v>
      </c>
      <c r="K90" s="54">
        <f t="shared" si="14"/>
        <v>467.78301740367277</v>
      </c>
      <c r="L90" s="54">
        <f t="shared" si="14"/>
        <v>570.48396857249429</v>
      </c>
      <c r="M90" s="54">
        <f t="shared" si="14"/>
        <v>671.9361702428389</v>
      </c>
      <c r="N90" s="54">
        <f t="shared" si="14"/>
        <v>771.29731819945596</v>
      </c>
    </row>
    <row r="91" spans="2:14">
      <c r="B91" s="1"/>
      <c r="C91" s="1" t="s">
        <v>308</v>
      </c>
      <c r="D91" s="1" t="s">
        <v>206</v>
      </c>
      <c r="E91" s="54">
        <f>Inputs!E202</f>
        <v>510</v>
      </c>
      <c r="F91" s="54">
        <f>Inputs!F202</f>
        <v>6</v>
      </c>
      <c r="G91" s="54">
        <f>Inputs!G202</f>
        <v>1006</v>
      </c>
      <c r="H91" s="54">
        <f>Inputs!H202</f>
        <v>0</v>
      </c>
      <c r="I91" s="54">
        <f>Inputs!I202</f>
        <v>2000</v>
      </c>
      <c r="J91" s="54">
        <f>Inputs!$M$141</f>
        <v>0</v>
      </c>
      <c r="K91" s="54">
        <f>Inputs!$M$141</f>
        <v>0</v>
      </c>
      <c r="L91" s="54">
        <f>Inputs!$M$141</f>
        <v>0</v>
      </c>
      <c r="M91" s="54">
        <f>Inputs!$M$141</f>
        <v>0</v>
      </c>
      <c r="N91" s="54">
        <f>Inputs!$M$141</f>
        <v>0</v>
      </c>
    </row>
    <row r="92" spans="2:14">
      <c r="B92" s="1"/>
      <c r="C92" s="122" t="s">
        <v>707</v>
      </c>
      <c r="D92" s="122" t="s">
        <v>206</v>
      </c>
      <c r="E92" s="123">
        <f t="shared" ref="E92:N92" si="15">SUM(E87:E91)</f>
        <v>10730</v>
      </c>
      <c r="F92" s="123">
        <f t="shared" si="15"/>
        <v>9256</v>
      </c>
      <c r="G92" s="123">
        <f t="shared" si="15"/>
        <v>10593</v>
      </c>
      <c r="H92" s="123">
        <f t="shared" si="15"/>
        <v>10566</v>
      </c>
      <c r="I92" s="123">
        <f t="shared" si="15"/>
        <v>12547</v>
      </c>
      <c r="J92" s="123">
        <f t="shared" si="15"/>
        <v>10864.740357894187</v>
      </c>
      <c r="K92" s="123">
        <f t="shared" si="15"/>
        <v>11395.878025370797</v>
      </c>
      <c r="L92" s="123">
        <f t="shared" si="15"/>
        <v>11932.747455612714</v>
      </c>
      <c r="M92" s="123">
        <f t="shared" si="15"/>
        <v>12575.924851173761</v>
      </c>
      <c r="N92" s="123">
        <f t="shared" si="15"/>
        <v>13249.076098526006</v>
      </c>
    </row>
    <row r="93" spans="2:14">
      <c r="B93" s="1"/>
      <c r="C93" s="1" t="s">
        <v>315</v>
      </c>
      <c r="D93" s="1" t="s">
        <v>206</v>
      </c>
      <c r="E93" s="54">
        <f>Inputs!E207</f>
        <v>8920</v>
      </c>
      <c r="F93" s="54">
        <f>Inputs!F207</f>
        <v>8927</v>
      </c>
      <c r="G93" s="54">
        <f>Inputs!G207</f>
        <v>7903</v>
      </c>
      <c r="H93" s="54">
        <f>Inputs!H207</f>
        <v>7961</v>
      </c>
      <c r="I93" s="54">
        <f>Inputs!I207</f>
        <v>5942</v>
      </c>
      <c r="J93" s="54">
        <f>J58</f>
        <v>7442</v>
      </c>
      <c r="K93" s="54">
        <f>K58</f>
        <v>6942</v>
      </c>
      <c r="L93" s="54">
        <f>L58</f>
        <v>6442</v>
      </c>
      <c r="M93" s="54">
        <f>M58</f>
        <v>5942</v>
      </c>
      <c r="N93" s="54">
        <f>N58</f>
        <v>5442</v>
      </c>
    </row>
    <row r="94" spans="2:14">
      <c r="B94" s="1"/>
      <c r="C94" s="1" t="s">
        <v>316</v>
      </c>
      <c r="D94" s="1" t="s">
        <v>206</v>
      </c>
      <c r="E94" s="54">
        <f>Inputs!E208</f>
        <v>2777</v>
      </c>
      <c r="F94" s="54">
        <f>Inputs!F208</f>
        <v>2786</v>
      </c>
      <c r="G94" s="54">
        <f>Inputs!G208</f>
        <v>2566</v>
      </c>
      <c r="H94" s="54">
        <f>Inputs!H208</f>
        <v>2550</v>
      </c>
      <c r="I94" s="54">
        <f>Inputs!I208</f>
        <v>2613</v>
      </c>
      <c r="J94" s="54">
        <f>J81-J88</f>
        <v>2460.9499199999996</v>
      </c>
      <c r="K94" s="54">
        <f>K81-K88</f>
        <v>2497.8641688000002</v>
      </c>
      <c r="L94" s="54">
        <f>L81-L88</f>
        <v>2544.3761222880003</v>
      </c>
      <c r="M94" s="54">
        <f>M81-M88</f>
        <v>2588.4483515490601</v>
      </c>
      <c r="N94" s="54">
        <f>N81-N88</f>
        <v>2629.6717882589151</v>
      </c>
    </row>
    <row r="95" spans="2:14">
      <c r="B95" s="1"/>
      <c r="C95" s="1" t="s">
        <v>317</v>
      </c>
      <c r="D95" s="1" t="s">
        <v>206</v>
      </c>
      <c r="E95" s="54">
        <f>Inputs!E209</f>
        <v>2613</v>
      </c>
      <c r="F95" s="54">
        <f>Inputs!F209</f>
        <v>2558</v>
      </c>
      <c r="G95" s="54">
        <f>Inputs!G209</f>
        <v>2618</v>
      </c>
      <c r="H95" s="54">
        <f>Inputs!H209</f>
        <v>2289</v>
      </c>
      <c r="I95" s="54">
        <f>Inputs!I209</f>
        <v>2443</v>
      </c>
      <c r="J95" s="54">
        <f>J16*Inputs!J28+J243</f>
        <v>2573.6710771199996</v>
      </c>
      <c r="K95" s="54">
        <f>J95+(K16*Inputs!K28-J16*Inputs!J28)+K243</f>
        <v>2667.9013320959998</v>
      </c>
      <c r="L95" s="54">
        <f>K95+(L16*Inputs!L28-K16*Inputs!K28)+L243</f>
        <v>2777.3148760156796</v>
      </c>
      <c r="M95" s="54">
        <f>L95+(M16*Inputs!M28-L16*Inputs!L28)+M243</f>
        <v>2889.8062344575419</v>
      </c>
      <c r="N95" s="54">
        <f>M95+(N16*Inputs!N28-M16*Inputs!M28)+N243</f>
        <v>3005.3829910486697</v>
      </c>
    </row>
    <row r="96" spans="2:14">
      <c r="B96" s="1"/>
      <c r="C96" s="122" t="s">
        <v>708</v>
      </c>
      <c r="D96" s="122" t="s">
        <v>206</v>
      </c>
      <c r="E96" s="123">
        <f t="shared" ref="E96:N96" si="16">SUM(E92:E95)</f>
        <v>25040</v>
      </c>
      <c r="F96" s="123">
        <f t="shared" si="16"/>
        <v>23527</v>
      </c>
      <c r="G96" s="123">
        <f t="shared" si="16"/>
        <v>23680</v>
      </c>
      <c r="H96" s="123">
        <f t="shared" si="16"/>
        <v>23366</v>
      </c>
      <c r="I96" s="123">
        <f t="shared" si="16"/>
        <v>23545</v>
      </c>
      <c r="J96" s="123">
        <f t="shared" si="16"/>
        <v>23341.361355014189</v>
      </c>
      <c r="K96" s="123">
        <f t="shared" si="16"/>
        <v>23503.643526266795</v>
      </c>
      <c r="L96" s="123">
        <f t="shared" si="16"/>
        <v>23696.438453916391</v>
      </c>
      <c r="M96" s="123">
        <f t="shared" si="16"/>
        <v>23996.179437180363</v>
      </c>
      <c r="N96" s="123">
        <f t="shared" si="16"/>
        <v>24326.130877833592</v>
      </c>
    </row>
    <row r="97" spans="2:14">
      <c r="B97" s="1"/>
      <c r="C97" s="1"/>
      <c r="D97" s="1"/>
      <c r="E97" s="54"/>
      <c r="F97" s="54"/>
      <c r="G97" s="54"/>
      <c r="H97" s="54"/>
      <c r="I97" s="54"/>
      <c r="J97" s="54"/>
      <c r="K97" s="54"/>
      <c r="L97" s="54"/>
      <c r="M97" s="54"/>
      <c r="N97" s="54"/>
    </row>
    <row r="98" spans="2:14">
      <c r="B98" s="1"/>
      <c r="C98" s="1" t="s">
        <v>318</v>
      </c>
      <c r="D98" s="1" t="s">
        <v>206</v>
      </c>
      <c r="E98" s="54">
        <f>Inputs!E210</f>
        <v>3</v>
      </c>
      <c r="F98" s="54">
        <f>Inputs!F210</f>
        <v>3</v>
      </c>
      <c r="G98" s="54">
        <f>Inputs!G210</f>
        <v>3</v>
      </c>
      <c r="H98" s="54">
        <f>Inputs!H210</f>
        <v>3</v>
      </c>
      <c r="I98" s="54">
        <f>Inputs!I210</f>
        <v>3</v>
      </c>
      <c r="J98" s="54">
        <f>I98</f>
        <v>3</v>
      </c>
      <c r="K98" s="54">
        <f>J98</f>
        <v>3</v>
      </c>
      <c r="L98" s="54">
        <f>K98</f>
        <v>3</v>
      </c>
      <c r="M98" s="54">
        <f>L98</f>
        <v>3</v>
      </c>
      <c r="N98" s="54">
        <f>M98</f>
        <v>3</v>
      </c>
    </row>
    <row r="99" spans="2:14">
      <c r="B99" s="1"/>
      <c r="C99" s="1" t="s">
        <v>319</v>
      </c>
      <c r="D99" s="1" t="s">
        <v>206</v>
      </c>
      <c r="E99" s="54">
        <f>Inputs!E211</f>
        <v>11484</v>
      </c>
      <c r="F99" s="54">
        <f>Inputs!F211</f>
        <v>12412</v>
      </c>
      <c r="G99" s="54">
        <f>Inputs!G211</f>
        <v>13409</v>
      </c>
      <c r="H99" s="54">
        <f>Inputs!H211</f>
        <v>14195</v>
      </c>
      <c r="I99" s="54">
        <f>Inputs!I211</f>
        <v>15158</v>
      </c>
      <c r="J99" s="54">
        <f>J63</f>
        <v>16031.808800000001</v>
      </c>
      <c r="K99" s="54">
        <f>K63</f>
        <v>16941.80804</v>
      </c>
      <c r="L99" s="54">
        <f>L63</f>
        <v>17893.607238199998</v>
      </c>
      <c r="M99" s="54">
        <f>M63</f>
        <v>18889.505392300998</v>
      </c>
      <c r="N99" s="54">
        <f>N63</f>
        <v>19931.927944877552</v>
      </c>
    </row>
    <row r="100" spans="2:14">
      <c r="B100" s="1"/>
      <c r="C100" s="1" t="s">
        <v>320</v>
      </c>
      <c r="D100" s="1" t="s">
        <v>206</v>
      </c>
      <c r="E100" s="54">
        <f>Inputs!E212</f>
        <v>318</v>
      </c>
      <c r="F100" s="54">
        <f>Inputs!F212</f>
        <v>231</v>
      </c>
      <c r="G100" s="54">
        <f>Inputs!G212</f>
        <v>53</v>
      </c>
      <c r="H100" s="54">
        <f>Inputs!H212</f>
        <v>-258</v>
      </c>
      <c r="I100" s="54">
        <f>Inputs!I212</f>
        <v>-141</v>
      </c>
      <c r="J100" s="54">
        <f>I100</f>
        <v>-141</v>
      </c>
      <c r="K100" s="54">
        <f>J100</f>
        <v>-141</v>
      </c>
      <c r="L100" s="54">
        <f>K100</f>
        <v>-141</v>
      </c>
      <c r="M100" s="54">
        <f>L100</f>
        <v>-141</v>
      </c>
      <c r="N100" s="54">
        <f>M100</f>
        <v>-141</v>
      </c>
    </row>
    <row r="101" spans="2:14">
      <c r="B101" s="1"/>
      <c r="C101" s="1" t="s">
        <v>321</v>
      </c>
      <c r="D101" s="1" t="s">
        <v>206</v>
      </c>
      <c r="E101" s="54">
        <f>Inputs!E213</f>
        <v>3476</v>
      </c>
      <c r="F101" s="54">
        <f>Inputs!F213</f>
        <v>1358</v>
      </c>
      <c r="G101" s="54">
        <f>Inputs!G213</f>
        <v>965</v>
      </c>
      <c r="H101" s="54">
        <f>Inputs!H213</f>
        <v>-727</v>
      </c>
      <c r="I101" s="54">
        <f>Inputs!I213</f>
        <v>-155</v>
      </c>
      <c r="J101" s="54">
        <f>J69</f>
        <v>393.40381379735572</v>
      </c>
      <c r="K101" s="54">
        <f>K69</f>
        <v>1289.1939946366838</v>
      </c>
      <c r="L101" s="54">
        <f>L69</f>
        <v>2581.0187285627367</v>
      </c>
      <c r="M101" s="54">
        <f>M69</f>
        <v>4297.016918830991</v>
      </c>
      <c r="N101" s="54">
        <f>N69</f>
        <v>6522.3929137887208</v>
      </c>
    </row>
    <row r="102" spans="2:14">
      <c r="B102" s="1"/>
      <c r="C102" s="122" t="s">
        <v>322</v>
      </c>
      <c r="D102" s="122" t="s">
        <v>206</v>
      </c>
      <c r="E102" s="123">
        <f t="shared" ref="E102:N102" si="17">SUM(E98:E101)</f>
        <v>15281</v>
      </c>
      <c r="F102" s="123">
        <f t="shared" si="17"/>
        <v>14004</v>
      </c>
      <c r="G102" s="123">
        <f t="shared" si="17"/>
        <v>14430</v>
      </c>
      <c r="H102" s="123">
        <f t="shared" si="17"/>
        <v>13213</v>
      </c>
      <c r="I102" s="123">
        <f t="shared" si="17"/>
        <v>14865</v>
      </c>
      <c r="J102" s="123">
        <f t="shared" si="17"/>
        <v>16287.212613797357</v>
      </c>
      <c r="K102" s="123">
        <f t="shared" si="17"/>
        <v>18093.002034636684</v>
      </c>
      <c r="L102" s="123">
        <f t="shared" si="17"/>
        <v>20336.625966762735</v>
      </c>
      <c r="M102" s="123">
        <f t="shared" si="17"/>
        <v>23048.52231113199</v>
      </c>
      <c r="N102" s="123">
        <f t="shared" si="17"/>
        <v>26316.320858666273</v>
      </c>
    </row>
    <row r="103" spans="2:14">
      <c r="B103" s="1"/>
      <c r="C103" s="122" t="s">
        <v>323</v>
      </c>
      <c r="D103" s="122" t="s">
        <v>206</v>
      </c>
      <c r="E103" s="123">
        <f t="shared" ref="E103:N103" si="18">E96+E102</f>
        <v>40321</v>
      </c>
      <c r="F103" s="123">
        <f t="shared" si="18"/>
        <v>37531</v>
      </c>
      <c r="G103" s="123">
        <f t="shared" si="18"/>
        <v>38110</v>
      </c>
      <c r="H103" s="123">
        <f t="shared" si="18"/>
        <v>36579</v>
      </c>
      <c r="I103" s="123">
        <f t="shared" si="18"/>
        <v>38410</v>
      </c>
      <c r="J103" s="123">
        <f t="shared" si="18"/>
        <v>39628.573968811543</v>
      </c>
      <c r="K103" s="123">
        <f t="shared" si="18"/>
        <v>41596.645560903475</v>
      </c>
      <c r="L103" s="123">
        <f t="shared" si="18"/>
        <v>44033.064420679126</v>
      </c>
      <c r="M103" s="123">
        <f t="shared" si="18"/>
        <v>47044.701748312349</v>
      </c>
      <c r="N103" s="123">
        <f t="shared" si="18"/>
        <v>50642.451736499861</v>
      </c>
    </row>
    <row r="104" spans="2:14">
      <c r="B104" s="1"/>
      <c r="C104" s="122" t="s">
        <v>709</v>
      </c>
      <c r="D104" s="122" t="s">
        <v>206</v>
      </c>
      <c r="E104" s="123">
        <f t="shared" ref="E104:N104" si="19">ROUND(E85-E103,1)</f>
        <v>0</v>
      </c>
      <c r="F104" s="123">
        <f t="shared" si="19"/>
        <v>0</v>
      </c>
      <c r="G104" s="123">
        <f t="shared" si="19"/>
        <v>0</v>
      </c>
      <c r="H104" s="123">
        <f t="shared" si="19"/>
        <v>0</v>
      </c>
      <c r="I104" s="123">
        <f t="shared" si="19"/>
        <v>0</v>
      </c>
      <c r="J104" s="123">
        <f t="shared" si="19"/>
        <v>0</v>
      </c>
      <c r="K104" s="123">
        <f t="shared" si="19"/>
        <v>0</v>
      </c>
      <c r="L104" s="123">
        <f t="shared" si="19"/>
        <v>0</v>
      </c>
      <c r="M104" s="123">
        <f t="shared" si="19"/>
        <v>0</v>
      </c>
      <c r="N104" s="123">
        <f t="shared" si="19"/>
        <v>0</v>
      </c>
    </row>
    <row r="105" spans="2:14">
      <c r="B105" s="1"/>
      <c r="C105" s="1"/>
      <c r="D105" s="1"/>
      <c r="E105" s="1"/>
      <c r="F105" s="1"/>
      <c r="G105" s="1"/>
      <c r="H105" s="1"/>
      <c r="I105" s="1"/>
      <c r="J105" s="1"/>
      <c r="K105" s="1"/>
      <c r="L105" s="1"/>
      <c r="M105" s="1"/>
      <c r="N105" s="1"/>
    </row>
    <row r="106" spans="2:14">
      <c r="B106" s="1"/>
      <c r="C106" s="1"/>
      <c r="D106" s="1"/>
      <c r="E106" s="1"/>
      <c r="F106" s="1"/>
      <c r="G106" s="1"/>
      <c r="H106" s="1"/>
      <c r="I106" s="1"/>
      <c r="J106" s="1"/>
      <c r="K106" s="1"/>
      <c r="L106" s="1"/>
      <c r="M106" s="1"/>
      <c r="N106" s="1"/>
    </row>
    <row r="107" spans="2:14">
      <c r="B107" s="1"/>
      <c r="C107" s="1"/>
      <c r="D107" s="1"/>
      <c r="E107" s="1"/>
      <c r="F107" s="1"/>
      <c r="G107" s="1"/>
      <c r="H107" s="1"/>
      <c r="I107" s="1"/>
      <c r="J107" s="1"/>
      <c r="K107" s="1"/>
      <c r="L107" s="1"/>
      <c r="M107" s="1"/>
      <c r="N107" s="1"/>
    </row>
    <row r="108" spans="2:14" ht="21" customHeight="1">
      <c r="B108" s="177" t="s">
        <v>710</v>
      </c>
      <c r="C108" s="177"/>
      <c r="D108" s="177"/>
      <c r="E108" s="194"/>
      <c r="F108" s="194"/>
      <c r="G108" s="194"/>
      <c r="H108" s="194"/>
      <c r="I108" s="194"/>
      <c r="J108" s="194"/>
      <c r="K108" s="194"/>
      <c r="L108" s="194"/>
      <c r="M108" s="194"/>
      <c r="N108" s="194"/>
    </row>
    <row r="109" spans="2:14">
      <c r="B109" s="1"/>
      <c r="C109" s="1"/>
      <c r="D109" s="1"/>
      <c r="E109" s="1"/>
      <c r="F109" s="1"/>
      <c r="G109" s="1"/>
      <c r="H109" s="1"/>
      <c r="I109" s="1"/>
      <c r="J109" s="1"/>
      <c r="K109" s="1"/>
      <c r="L109" s="1"/>
      <c r="M109" s="1"/>
      <c r="N109" s="1"/>
    </row>
    <row r="110" spans="2:14">
      <c r="B110" s="1"/>
      <c r="C110" s="1" t="s">
        <v>111</v>
      </c>
      <c r="D110" s="1" t="s">
        <v>206</v>
      </c>
      <c r="E110" s="54">
        <f>Inputs!E167</f>
        <v>6046</v>
      </c>
      <c r="F110" s="54">
        <f>Inputs!F167</f>
        <v>5070</v>
      </c>
      <c r="G110" s="54">
        <f>Inputs!G167</f>
        <v>5700</v>
      </c>
      <c r="H110" s="54">
        <f>Inputs!H167</f>
        <v>3219</v>
      </c>
      <c r="I110" s="54">
        <f>Inputs!I167</f>
        <v>3108</v>
      </c>
      <c r="J110" s="54">
        <f>J28</f>
        <v>2995.4394679924449</v>
      </c>
      <c r="K110" s="54">
        <f>K28</f>
        <v>3673.1320548403369</v>
      </c>
      <c r="L110" s="54">
        <f>L28</f>
        <v>4479.561834815132</v>
      </c>
      <c r="M110" s="54">
        <f>M28</f>
        <v>5276.1861673053681</v>
      </c>
      <c r="N110" s="54">
        <f>N28</f>
        <v>6056.3910999060645</v>
      </c>
    </row>
    <row r="111" spans="2:14">
      <c r="B111" s="1"/>
      <c r="C111" s="1" t="s">
        <v>275</v>
      </c>
      <c r="D111" s="1" t="s">
        <v>206</v>
      </c>
      <c r="E111" s="54">
        <f>Inputs!E170</f>
        <v>717</v>
      </c>
      <c r="F111" s="54">
        <f>Inputs!F170</f>
        <v>703</v>
      </c>
      <c r="G111" s="54">
        <f>Inputs!G170</f>
        <v>796</v>
      </c>
      <c r="H111" s="54">
        <f>Inputs!H170</f>
        <v>775</v>
      </c>
      <c r="I111" s="54">
        <f>Inputs!I170</f>
        <v>747</v>
      </c>
      <c r="J111" s="54">
        <f>J53</f>
        <v>772.06272000000001</v>
      </c>
      <c r="K111" s="54">
        <f>K53</f>
        <v>810.66585600000008</v>
      </c>
      <c r="L111" s="54">
        <f>L53</f>
        <v>855.25247808000006</v>
      </c>
      <c r="M111" s="54">
        <f>M53</f>
        <v>902.29136437440002</v>
      </c>
      <c r="N111" s="54">
        <f>N53</f>
        <v>951.91738941499193</v>
      </c>
    </row>
    <row r="112" spans="2:14">
      <c r="B112" s="1"/>
      <c r="C112" s="1" t="s">
        <v>277</v>
      </c>
      <c r="D112" s="1" t="s">
        <v>206</v>
      </c>
      <c r="E112" s="54">
        <f>Inputs!E171</f>
        <v>638</v>
      </c>
      <c r="F112" s="54">
        <f>Inputs!F171</f>
        <v>755</v>
      </c>
      <c r="G112" s="54">
        <f>Inputs!G171</f>
        <v>804</v>
      </c>
      <c r="H112" s="54">
        <f>Inputs!H171</f>
        <v>709</v>
      </c>
      <c r="I112" s="54">
        <f>Inputs!I171</f>
        <v>715</v>
      </c>
      <c r="J112" s="54">
        <f>J61</f>
        <v>723.80879999999991</v>
      </c>
      <c r="K112" s="54">
        <f>K61</f>
        <v>759.99923999999999</v>
      </c>
      <c r="L112" s="54">
        <f>L61</f>
        <v>801.79919819999998</v>
      </c>
      <c r="M112" s="54">
        <f>M61</f>
        <v>845.89815410099993</v>
      </c>
      <c r="N112" s="54">
        <f>N61</f>
        <v>892.42255257655495</v>
      </c>
    </row>
    <row r="113" spans="2:14">
      <c r="B113" s="1"/>
      <c r="C113" s="1" t="s">
        <v>278</v>
      </c>
      <c r="D113" s="1" t="s">
        <v>206</v>
      </c>
      <c r="E113" s="54">
        <f>Inputs!E172</f>
        <v>-650</v>
      </c>
      <c r="F113" s="54">
        <f>Inputs!F172</f>
        <v>-117</v>
      </c>
      <c r="G113" s="54">
        <f>Inputs!G172</f>
        <v>-497</v>
      </c>
      <c r="H113" s="54">
        <f>Inputs!H172</f>
        <v>-288</v>
      </c>
      <c r="I113" s="54">
        <f>Inputs!I172</f>
        <v>-96</v>
      </c>
      <c r="J113" s="54">
        <f>J243</f>
        <v>16.213317120000028</v>
      </c>
      <c r="K113" s="54">
        <f>K243</f>
        <v>17.02398297600001</v>
      </c>
      <c r="L113" s="54">
        <f>L243</f>
        <v>17.960302039680027</v>
      </c>
      <c r="M113" s="54">
        <f>M243</f>
        <v>18.948118651862409</v>
      </c>
      <c r="N113" s="54">
        <f>N243</f>
        <v>19.990265177714864</v>
      </c>
    </row>
    <row r="114" spans="2:14">
      <c r="B114" s="1"/>
      <c r="C114" s="1" t="s">
        <v>279</v>
      </c>
      <c r="D114" s="1" t="s">
        <v>206</v>
      </c>
      <c r="E114" s="54">
        <f>Inputs!E173</f>
        <v>123</v>
      </c>
      <c r="F114" s="54">
        <f>Inputs!F173</f>
        <v>156</v>
      </c>
      <c r="G114" s="54">
        <f>Inputs!G173</f>
        <v>48</v>
      </c>
      <c r="H114" s="54">
        <f>Inputs!H173</f>
        <v>33</v>
      </c>
      <c r="I114" s="54">
        <f>Inputs!I173</f>
        <v>50</v>
      </c>
      <c r="J114" s="54">
        <f>0</f>
        <v>0</v>
      </c>
      <c r="K114" s="54">
        <f>0</f>
        <v>0</v>
      </c>
      <c r="L114" s="54">
        <f>0</f>
        <v>0</v>
      </c>
      <c r="M114" s="54">
        <f>0</f>
        <v>0</v>
      </c>
      <c r="N114" s="54">
        <f>0</f>
        <v>0</v>
      </c>
    </row>
    <row r="115" spans="2:14">
      <c r="B115" s="1"/>
      <c r="C115" s="1" t="s">
        <v>280</v>
      </c>
      <c r="D115" s="1" t="s">
        <v>206</v>
      </c>
      <c r="E115" s="54">
        <f>Inputs!E174</f>
        <v>-26</v>
      </c>
      <c r="F115" s="54">
        <f>Inputs!F174</f>
        <v>-213</v>
      </c>
      <c r="G115" s="54">
        <f>Inputs!G174</f>
        <v>-138</v>
      </c>
      <c r="H115" s="54">
        <f>Inputs!H174</f>
        <v>37</v>
      </c>
      <c r="I115" s="54">
        <f>Inputs!I174</f>
        <v>22</v>
      </c>
      <c r="J115" s="54">
        <f>0</f>
        <v>0</v>
      </c>
      <c r="K115" s="54">
        <f>0</f>
        <v>0</v>
      </c>
      <c r="L115" s="54">
        <f>0</f>
        <v>0</v>
      </c>
      <c r="M115" s="54">
        <f>0</f>
        <v>0</v>
      </c>
      <c r="N115" s="54">
        <f>0</f>
        <v>0</v>
      </c>
    </row>
    <row r="116" spans="2:14">
      <c r="B116" s="1"/>
      <c r="C116" s="1" t="s">
        <v>711</v>
      </c>
      <c r="D116" s="1" t="s">
        <v>206</v>
      </c>
      <c r="E116" s="54">
        <f>Inputs!E175</f>
        <v>-504</v>
      </c>
      <c r="F116" s="54">
        <f>Inputs!F175</f>
        <v>489</v>
      </c>
      <c r="G116" s="54">
        <f>Inputs!G175</f>
        <v>-329</v>
      </c>
      <c r="H116" s="54">
        <f>Inputs!H175</f>
        <v>-257</v>
      </c>
      <c r="I116" s="54">
        <f>Inputs!I175</f>
        <v>-1207</v>
      </c>
      <c r="J116" s="54">
        <f t="shared" ref="J116:N117" si="20">-(J76-I76)</f>
        <v>114.08909589041104</v>
      </c>
      <c r="K116" s="54">
        <f t="shared" si="20"/>
        <v>-152.03289863013651</v>
      </c>
      <c r="L116" s="54">
        <f t="shared" si="20"/>
        <v>-181.84456701369891</v>
      </c>
      <c r="M116" s="54">
        <f t="shared" si="20"/>
        <v>-183.79141438191709</v>
      </c>
      <c r="N116" s="54">
        <f t="shared" si="20"/>
        <v>-185.40233514542524</v>
      </c>
    </row>
    <row r="117" spans="2:14">
      <c r="B117" s="1"/>
      <c r="C117" s="1" t="s">
        <v>712</v>
      </c>
      <c r="D117" s="1" t="s">
        <v>206</v>
      </c>
      <c r="E117" s="54">
        <f>Inputs!E176</f>
        <v>-1676</v>
      </c>
      <c r="F117" s="54">
        <f>Inputs!F176</f>
        <v>-133</v>
      </c>
      <c r="G117" s="54">
        <f>Inputs!G176</f>
        <v>908</v>
      </c>
      <c r="H117" s="54">
        <f>Inputs!H176</f>
        <v>120</v>
      </c>
      <c r="I117" s="54">
        <f>Inputs!I176</f>
        <v>-31</v>
      </c>
      <c r="J117" s="54">
        <f t="shared" si="20"/>
        <v>-83.194198794520162</v>
      </c>
      <c r="K117" s="54">
        <f t="shared" si="20"/>
        <v>-139.0638313643849</v>
      </c>
      <c r="L117" s="54">
        <f t="shared" si="20"/>
        <v>-174.94002597304097</v>
      </c>
      <c r="M117" s="54">
        <f t="shared" si="20"/>
        <v>-274.33687707837271</v>
      </c>
      <c r="N117" s="54">
        <f t="shared" si="20"/>
        <v>-297.73683750030705</v>
      </c>
    </row>
    <row r="118" spans="2:14">
      <c r="B118" s="1"/>
      <c r="C118" s="1" t="s">
        <v>713</v>
      </c>
      <c r="D118" s="1" t="s">
        <v>206</v>
      </c>
      <c r="E118" s="54">
        <f>Inputs!E177</f>
        <v>-845</v>
      </c>
      <c r="F118" s="54">
        <f>Inputs!F177</f>
        <v>-644</v>
      </c>
      <c r="G118" s="54">
        <f>Inputs!G177</f>
        <v>-260</v>
      </c>
      <c r="H118" s="54">
        <f>Inputs!H177</f>
        <v>-224</v>
      </c>
      <c r="I118" s="54">
        <f>Inputs!I177</f>
        <v>519</v>
      </c>
      <c r="J118" s="54">
        <f>-(SUM(J78,J81,J84)-SUM(I78,I81,I84))</f>
        <v>-249.3859199999988</v>
      </c>
      <c r="K118" s="54">
        <f>-(SUM(K78,K81,K84)-SUM(J78,J81,J84))</f>
        <v>-291.93621600000188</v>
      </c>
      <c r="L118" s="54">
        <f>-(SUM(L78,L81,L84)-SUM(K78,K81,K84))</f>
        <v>-348.58631807999882</v>
      </c>
      <c r="M118" s="54">
        <f>-(SUM(M78,M81,M84)-SUM(L78,L81,L84))</f>
        <v>-353.05891360740134</v>
      </c>
      <c r="N118" s="54">
        <f>-(SUM(N78,N81,N84)-SUM(M78,M81,M84))</f>
        <v>-356.96902103062166</v>
      </c>
    </row>
    <row r="119" spans="2:14">
      <c r="B119" s="1"/>
      <c r="C119" s="1" t="s">
        <v>714</v>
      </c>
      <c r="D119" s="1" t="s">
        <v>206</v>
      </c>
      <c r="E119" s="54">
        <f>Inputs!E178</f>
        <v>1365</v>
      </c>
      <c r="F119" s="54">
        <f>Inputs!F178</f>
        <v>-225</v>
      </c>
      <c r="G119" s="54">
        <f>Inputs!G178</f>
        <v>397</v>
      </c>
      <c r="H119" s="54">
        <f>Inputs!H178</f>
        <v>-426</v>
      </c>
      <c r="I119" s="54">
        <f>Inputs!I178</f>
        <v>-959</v>
      </c>
      <c r="J119" s="54">
        <f>SUM(J87:J90,J94)-SUM(I87:I90,I94)</f>
        <v>165.69027789418578</v>
      </c>
      <c r="K119" s="54">
        <f>SUM(K87:K90,K94)-SUM(J87:J90,J94)</f>
        <v>568.05191627661225</v>
      </c>
      <c r="L119" s="54">
        <f>SUM(L87:L90,L94)-SUM(K87:K90,K94)</f>
        <v>583.38138372991671</v>
      </c>
      <c r="M119" s="54">
        <f>SUM(M87:M90,M94)-SUM(L87:L90,L94)</f>
        <v>687.24962482210685</v>
      </c>
      <c r="N119" s="54">
        <f>SUM(N87:N90,N94)-SUM(M87:M90,M94)</f>
        <v>714.37468406209882</v>
      </c>
    </row>
    <row r="120" spans="2:14">
      <c r="B120" s="1"/>
      <c r="C120" s="1" t="s">
        <v>715</v>
      </c>
      <c r="D120" s="1" t="s">
        <v>206</v>
      </c>
      <c r="E120" s="54">
        <f>0</f>
        <v>0</v>
      </c>
      <c r="F120" s="54">
        <f>0</f>
        <v>0</v>
      </c>
      <c r="G120" s="54">
        <f>0</f>
        <v>0</v>
      </c>
      <c r="H120" s="54">
        <f>0</f>
        <v>0</v>
      </c>
      <c r="I120" s="54">
        <f>0</f>
        <v>0</v>
      </c>
      <c r="J120" s="54">
        <f>J16*Inputs!J28-I95</f>
        <v>114.45775999999978</v>
      </c>
      <c r="K120" s="54">
        <f>K16*Inputs!K28-J16*Inputs!J28</f>
        <v>77.206272000000354</v>
      </c>
      <c r="L120" s="54">
        <f>L16*Inputs!L28-K16*Inputs!K28</f>
        <v>91.45324187999995</v>
      </c>
      <c r="M120" s="54">
        <f>M16*Inputs!M28-L16*Inputs!L28</f>
        <v>93.543239789999916</v>
      </c>
      <c r="N120" s="54">
        <f>N16*Inputs!N28-M16*Inputs!M28</f>
        <v>95.586491413413114</v>
      </c>
    </row>
    <row r="121" spans="2:14">
      <c r="B121" s="1"/>
      <c r="C121" s="1" t="s">
        <v>716</v>
      </c>
      <c r="D121" s="1" t="s">
        <v>206</v>
      </c>
      <c r="E121" s="54">
        <f>E122-SUM(E110:E120)</f>
        <v>0</v>
      </c>
      <c r="F121" s="54">
        <f>F122-SUM(F110:F120)</f>
        <v>0</v>
      </c>
      <c r="G121" s="54">
        <f>G122-SUM(G110:G120)</f>
        <v>0</v>
      </c>
      <c r="H121" s="54">
        <f>H122-SUM(H110:H120)</f>
        <v>0</v>
      </c>
      <c r="I121" s="54">
        <f>I122-SUM(I110:I120)</f>
        <v>0</v>
      </c>
      <c r="J121" s="54">
        <f>0</f>
        <v>0</v>
      </c>
      <c r="K121" s="54">
        <f>0</f>
        <v>0</v>
      </c>
      <c r="L121" s="54">
        <f>0</f>
        <v>0</v>
      </c>
      <c r="M121" s="54">
        <f>0</f>
        <v>0</v>
      </c>
      <c r="N121" s="54">
        <f>0</f>
        <v>0</v>
      </c>
    </row>
    <row r="122" spans="2:14">
      <c r="B122" s="1"/>
      <c r="C122" s="122" t="s">
        <v>113</v>
      </c>
      <c r="D122" s="122" t="s">
        <v>206</v>
      </c>
      <c r="E122" s="123">
        <f>Inputs!E179</f>
        <v>5188</v>
      </c>
      <c r="F122" s="123">
        <f>Inputs!F179</f>
        <v>5841</v>
      </c>
      <c r="G122" s="123">
        <f>Inputs!G179</f>
        <v>7429</v>
      </c>
      <c r="H122" s="123">
        <f>Inputs!H179</f>
        <v>3698</v>
      </c>
      <c r="I122" s="123">
        <f>Inputs!I179</f>
        <v>2868</v>
      </c>
      <c r="J122" s="123">
        <f>SUM(J110:J120)</f>
        <v>4569.1813201025234</v>
      </c>
      <c r="K122" s="123">
        <f>SUM(K110:K120)</f>
        <v>5323.0463760984267</v>
      </c>
      <c r="L122" s="123">
        <f>SUM(L110:L120)</f>
        <v>6124.0375276779905</v>
      </c>
      <c r="M122" s="123">
        <f>SUM(M110:M120)</f>
        <v>7012.9294639770451</v>
      </c>
      <c r="N122" s="123">
        <f>SUM(N110:N120)</f>
        <v>7890.5742888744844</v>
      </c>
    </row>
    <row r="123" spans="2:14">
      <c r="B123" s="1"/>
      <c r="C123" s="1"/>
      <c r="D123" s="1"/>
      <c r="E123" s="54"/>
      <c r="F123" s="54"/>
      <c r="G123" s="54"/>
      <c r="H123" s="54"/>
      <c r="I123" s="54"/>
      <c r="J123" s="54"/>
      <c r="K123" s="54"/>
      <c r="L123" s="54"/>
      <c r="M123" s="54"/>
      <c r="N123" s="54"/>
    </row>
    <row r="124" spans="2:14">
      <c r="B124" s="1"/>
      <c r="C124" s="1" t="s">
        <v>285</v>
      </c>
      <c r="D124" s="1" t="s">
        <v>206</v>
      </c>
      <c r="E124" s="54">
        <f>-Inputs!E180</f>
        <v>-758</v>
      </c>
      <c r="F124" s="54">
        <f>-Inputs!F180</f>
        <v>-969</v>
      </c>
      <c r="G124" s="54">
        <f>-Inputs!G180</f>
        <v>-812</v>
      </c>
      <c r="H124" s="54">
        <f>-Inputs!H180</f>
        <v>-430</v>
      </c>
      <c r="I124" s="54">
        <f>-Inputs!I180</f>
        <v>-684</v>
      </c>
      <c r="J124" s="54">
        <f>-J52</f>
        <v>-1061.5862399999999</v>
      </c>
      <c r="K124" s="54">
        <f>-K52</f>
        <v>-1063.9989360000002</v>
      </c>
      <c r="L124" s="54">
        <f>-L52</f>
        <v>-1069.0655976</v>
      </c>
      <c r="M124" s="54">
        <f>-M52</f>
        <v>-1071.4709951945999</v>
      </c>
      <c r="N124" s="54">
        <f>-N52</f>
        <v>-1070.9070630918659</v>
      </c>
    </row>
    <row r="125" spans="2:14">
      <c r="B125" s="1"/>
      <c r="C125" s="1" t="s">
        <v>717</v>
      </c>
      <c r="D125" s="1" t="s">
        <v>206</v>
      </c>
      <c r="E125" s="54">
        <f>E126-E124</f>
        <v>-766</v>
      </c>
      <c r="F125" s="54">
        <f>F126-F124</f>
        <v>1533</v>
      </c>
      <c r="G125" s="54">
        <f>G126-G124</f>
        <v>1706</v>
      </c>
      <c r="H125" s="54">
        <f>H126-H124</f>
        <v>155</v>
      </c>
      <c r="I125" s="54">
        <f>I126-I124</f>
        <v>196</v>
      </c>
      <c r="J125" s="54">
        <f>-(J75-I75)</f>
        <v>16.382400000000189</v>
      </c>
      <c r="K125" s="54">
        <f>-(K75-J75)</f>
        <v>-21.714264000000412</v>
      </c>
      <c r="L125" s="54">
        <f>-(L75-K75)</f>
        <v>-27.359972639999796</v>
      </c>
      <c r="M125" s="54">
        <f>-(M75-L75)</f>
        <v>-25.924840741799926</v>
      </c>
      <c r="N125" s="54">
        <f>-(N75-M75)</f>
        <v>-24.2490804175618</v>
      </c>
    </row>
    <row r="126" spans="2:14">
      <c r="B126" s="1"/>
      <c r="C126" s="122" t="s">
        <v>286</v>
      </c>
      <c r="D126" s="122" t="s">
        <v>206</v>
      </c>
      <c r="E126" s="123">
        <f>Inputs!E181</f>
        <v>-1524</v>
      </c>
      <c r="F126" s="123">
        <f>Inputs!F181</f>
        <v>564</v>
      </c>
      <c r="G126" s="123">
        <f>Inputs!G181</f>
        <v>894</v>
      </c>
      <c r="H126" s="123">
        <f>Inputs!H181</f>
        <v>-275</v>
      </c>
      <c r="I126" s="123">
        <f>Inputs!I181</f>
        <v>-488</v>
      </c>
      <c r="J126" s="123">
        <f>SUM(J124:J125)</f>
        <v>-1045.2038399999997</v>
      </c>
      <c r="K126" s="123">
        <f>SUM(K124:K125)</f>
        <v>-1085.7132000000006</v>
      </c>
      <c r="L126" s="123">
        <f>SUM(L124:L125)</f>
        <v>-1096.4255702399998</v>
      </c>
      <c r="M126" s="123">
        <f>SUM(M124:M125)</f>
        <v>-1097.3958359363999</v>
      </c>
      <c r="N126" s="123">
        <f>SUM(N124:N125)</f>
        <v>-1095.1561435094277</v>
      </c>
    </row>
    <row r="127" spans="2:14">
      <c r="B127" s="1"/>
      <c r="C127" s="1"/>
      <c r="D127" s="1"/>
      <c r="E127" s="54"/>
      <c r="F127" s="54"/>
      <c r="G127" s="54"/>
      <c r="H127" s="54"/>
      <c r="I127" s="54"/>
      <c r="J127" s="54"/>
      <c r="K127" s="54"/>
      <c r="L127" s="54"/>
      <c r="M127" s="54"/>
      <c r="N127" s="54"/>
    </row>
    <row r="128" spans="2:14">
      <c r="B128" s="1"/>
      <c r="C128" s="1" t="s">
        <v>287</v>
      </c>
      <c r="D128" s="1" t="s">
        <v>206</v>
      </c>
      <c r="E128" s="54">
        <f>Inputs!E182</f>
        <v>15</v>
      </c>
      <c r="F128" s="54">
        <f>Inputs!F182</f>
        <v>-504</v>
      </c>
      <c r="G128" s="54">
        <f>Inputs!G182</f>
        <v>0</v>
      </c>
      <c r="H128" s="54">
        <f>Inputs!H182</f>
        <v>-1000</v>
      </c>
      <c r="I128" s="54">
        <f>Inputs!I182</f>
        <v>0</v>
      </c>
      <c r="J128" s="54">
        <f>-J57</f>
        <v>-500</v>
      </c>
      <c r="K128" s="54">
        <f>-K57</f>
        <v>-500</v>
      </c>
      <c r="L128" s="54">
        <f>-L57</f>
        <v>-500</v>
      </c>
      <c r="M128" s="54">
        <f>-M57</f>
        <v>-500</v>
      </c>
      <c r="N128" s="54">
        <f>-N57</f>
        <v>-500</v>
      </c>
    </row>
    <row r="129" spans="2:14">
      <c r="B129" s="1"/>
      <c r="C129" s="1" t="s">
        <v>288</v>
      </c>
      <c r="D129" s="1" t="s">
        <v>206</v>
      </c>
      <c r="E129" s="54">
        <f>Inputs!E183</f>
        <v>1000</v>
      </c>
      <c r="F129" s="54">
        <f>Inputs!F183</f>
        <v>549</v>
      </c>
      <c r="G129" s="54">
        <f>Inputs!G183</f>
        <v>531</v>
      </c>
      <c r="H129" s="54">
        <f>Inputs!H183</f>
        <v>465</v>
      </c>
      <c r="I129" s="54">
        <f>Inputs!I183</f>
        <v>261</v>
      </c>
      <c r="J129" s="54">
        <f>J62</f>
        <v>150</v>
      </c>
      <c r="K129" s="54">
        <f>K62</f>
        <v>150</v>
      </c>
      <c r="L129" s="54">
        <f>L62</f>
        <v>150</v>
      </c>
      <c r="M129" s="54">
        <f>M62</f>
        <v>150</v>
      </c>
      <c r="N129" s="54">
        <f>N62</f>
        <v>150</v>
      </c>
    </row>
    <row r="130" spans="2:14">
      <c r="B130" s="1"/>
      <c r="C130" s="1" t="s">
        <v>703</v>
      </c>
      <c r="D130" s="1" t="s">
        <v>206</v>
      </c>
      <c r="E130" s="54">
        <f>-Inputs!E184</f>
        <v>-1837</v>
      </c>
      <c r="F130" s="54">
        <f>-Inputs!F184</f>
        <v>-2012</v>
      </c>
      <c r="G130" s="54">
        <f>-Inputs!G184</f>
        <v>-2169</v>
      </c>
      <c r="H130" s="54">
        <f>-Inputs!H184</f>
        <v>-2300</v>
      </c>
      <c r="I130" s="54">
        <f>-Inputs!I184</f>
        <v>-2407</v>
      </c>
      <c r="J130" s="54">
        <f t="shared" ref="J130:N131" si="21">-J67</f>
        <v>-1947.0356541950891</v>
      </c>
      <c r="K130" s="54">
        <f t="shared" si="21"/>
        <v>-2277.3418740010088</v>
      </c>
      <c r="L130" s="54">
        <f t="shared" si="21"/>
        <v>-2687.7371008890791</v>
      </c>
      <c r="M130" s="54">
        <f t="shared" si="21"/>
        <v>-3060.1879770371133</v>
      </c>
      <c r="N130" s="54">
        <f t="shared" si="21"/>
        <v>-3331.0151049483356</v>
      </c>
    </row>
    <row r="131" spans="2:14">
      <c r="B131" s="1"/>
      <c r="C131" s="1" t="s">
        <v>205</v>
      </c>
      <c r="D131" s="1" t="s">
        <v>206</v>
      </c>
      <c r="E131" s="54">
        <f>-Inputs!E185</f>
        <v>-4014</v>
      </c>
      <c r="F131" s="54">
        <f>-Inputs!F185</f>
        <v>-5480</v>
      </c>
      <c r="G131" s="54">
        <f>-Inputs!G185</f>
        <v>-4250</v>
      </c>
      <c r="H131" s="54">
        <f>-Inputs!H185</f>
        <v>-2985</v>
      </c>
      <c r="I131" s="54">
        <f>-Inputs!I185</f>
        <v>-146</v>
      </c>
      <c r="J131" s="54">
        <f t="shared" si="21"/>
        <v>-500</v>
      </c>
      <c r="K131" s="54">
        <f t="shared" si="21"/>
        <v>-500</v>
      </c>
      <c r="L131" s="54">
        <f t="shared" si="21"/>
        <v>-500</v>
      </c>
      <c r="M131" s="54">
        <f t="shared" si="21"/>
        <v>-500</v>
      </c>
      <c r="N131" s="54">
        <f t="shared" si="21"/>
        <v>-500</v>
      </c>
    </row>
    <row r="132" spans="2:14">
      <c r="B132" s="1"/>
      <c r="C132" s="122" t="s">
        <v>292</v>
      </c>
      <c r="D132" s="122" t="s">
        <v>206</v>
      </c>
      <c r="E132" s="123">
        <f>Inputs!E186</f>
        <v>-4836</v>
      </c>
      <c r="F132" s="123">
        <f>Inputs!F186</f>
        <v>-7447</v>
      </c>
      <c r="G132" s="123">
        <f>Inputs!G186</f>
        <v>-5888</v>
      </c>
      <c r="H132" s="123">
        <f>Inputs!H186</f>
        <v>-5820</v>
      </c>
      <c r="I132" s="123">
        <f>Inputs!I186</f>
        <v>-2292</v>
      </c>
      <c r="J132" s="123">
        <f>SUM(J128:J131)</f>
        <v>-2797.0356541950891</v>
      </c>
      <c r="K132" s="123">
        <f>SUM(K128:K131)</f>
        <v>-3127.3418740010088</v>
      </c>
      <c r="L132" s="123">
        <f>SUM(L128:L131)</f>
        <v>-3537.7371008890791</v>
      </c>
      <c r="M132" s="123">
        <f>SUM(M128:M131)</f>
        <v>-3910.1879770371133</v>
      </c>
      <c r="N132" s="123">
        <f>SUM(N128:N131)</f>
        <v>-4181.0151049483356</v>
      </c>
    </row>
    <row r="133" spans="2:14">
      <c r="B133" s="1"/>
      <c r="C133" s="1" t="s">
        <v>293</v>
      </c>
      <c r="D133" s="1" t="s">
        <v>206</v>
      </c>
      <c r="E133" s="54">
        <f>Inputs!E187</f>
        <v>-143</v>
      </c>
      <c r="F133" s="54">
        <f>Inputs!F187</f>
        <v>-91</v>
      </c>
      <c r="G133" s="54">
        <f>Inputs!G187</f>
        <v>-16</v>
      </c>
      <c r="H133" s="54">
        <f>Inputs!H187</f>
        <v>1</v>
      </c>
      <c r="I133" s="54">
        <f>Inputs!I187</f>
        <v>11</v>
      </c>
      <c r="J133" s="54">
        <f>0</f>
        <v>0</v>
      </c>
      <c r="K133" s="54">
        <f>0</f>
        <v>0</v>
      </c>
      <c r="L133" s="54">
        <f>0</f>
        <v>0</v>
      </c>
      <c r="M133" s="54">
        <f>0</f>
        <v>0</v>
      </c>
      <c r="N133" s="54">
        <f>0</f>
        <v>0</v>
      </c>
    </row>
    <row r="134" spans="2:14">
      <c r="B134" s="1"/>
      <c r="C134" s="122" t="s">
        <v>294</v>
      </c>
      <c r="D134" s="122" t="s">
        <v>206</v>
      </c>
      <c r="E134" s="123">
        <f>Inputs!E188</f>
        <v>-1315</v>
      </c>
      <c r="F134" s="123">
        <f>Inputs!F188</f>
        <v>-1133</v>
      </c>
      <c r="G134" s="123">
        <f>Inputs!G188</f>
        <v>2419</v>
      </c>
      <c r="H134" s="123">
        <f>Inputs!H188</f>
        <v>-2396</v>
      </c>
      <c r="I134" s="123">
        <f>Inputs!I188</f>
        <v>99</v>
      </c>
      <c r="J134" s="123">
        <f>SUM(J122,J126,J132,J133)</f>
        <v>726.94182590743458</v>
      </c>
      <c r="K134" s="123">
        <f>SUM(K122,K126,K132,K133)</f>
        <v>1109.9913020974168</v>
      </c>
      <c r="L134" s="123">
        <f>SUM(L122,L126,L132,L133)</f>
        <v>1489.8748565489118</v>
      </c>
      <c r="M134" s="123">
        <f>SUM(M122,M126,M132,M133)</f>
        <v>2005.3456510035321</v>
      </c>
      <c r="N134" s="123">
        <f>SUM(N122,N126,N132,N133)</f>
        <v>2614.4030404167206</v>
      </c>
    </row>
    <row r="135" spans="2:14">
      <c r="B135" s="1"/>
      <c r="C135" s="122" t="s">
        <v>484</v>
      </c>
      <c r="D135" s="122" t="s">
        <v>206</v>
      </c>
      <c r="E135" s="123">
        <f>Inputs!E190</f>
        <v>8574</v>
      </c>
      <c r="F135" s="123">
        <f>Inputs!F190</f>
        <v>7441</v>
      </c>
      <c r="G135" s="123">
        <f>Inputs!G190</f>
        <v>9860</v>
      </c>
      <c r="H135" s="123">
        <f>Inputs!H190</f>
        <v>7464</v>
      </c>
      <c r="I135" s="123">
        <f>Inputs!I190</f>
        <v>7563</v>
      </c>
      <c r="J135" s="123">
        <f>I74+J134</f>
        <v>8289.9418259074337</v>
      </c>
      <c r="K135" s="123">
        <f>J74+K134</f>
        <v>9399.93312800485</v>
      </c>
      <c r="L135" s="123">
        <f>K74+L134</f>
        <v>10889.807984553761</v>
      </c>
      <c r="M135" s="123">
        <f>L74+M134</f>
        <v>12895.153635557293</v>
      </c>
      <c r="N135" s="123">
        <f>M74+N134</f>
        <v>15509.556675974014</v>
      </c>
    </row>
    <row r="136" spans="2:14">
      <c r="B136" s="1"/>
      <c r="C136" s="122" t="s">
        <v>718</v>
      </c>
      <c r="D136" s="122" t="s">
        <v>206</v>
      </c>
      <c r="E136" s="123">
        <f t="shared" ref="E136:N136" si="22">E135-E74</f>
        <v>0</v>
      </c>
      <c r="F136" s="123">
        <f t="shared" si="22"/>
        <v>0</v>
      </c>
      <c r="G136" s="123">
        <f t="shared" si="22"/>
        <v>0</v>
      </c>
      <c r="H136" s="123">
        <f t="shared" si="22"/>
        <v>0</v>
      </c>
      <c r="I136" s="123">
        <f t="shared" si="22"/>
        <v>0</v>
      </c>
      <c r="J136" s="123">
        <f t="shared" si="22"/>
        <v>0</v>
      </c>
      <c r="K136" s="123">
        <f t="shared" si="22"/>
        <v>0</v>
      </c>
      <c r="L136" s="123">
        <f t="shared" si="22"/>
        <v>0</v>
      </c>
      <c r="M136" s="123">
        <f t="shared" si="22"/>
        <v>0</v>
      </c>
      <c r="N136" s="123">
        <f t="shared" si="22"/>
        <v>0</v>
      </c>
    </row>
    <row r="137" spans="2:14">
      <c r="B137" s="1"/>
      <c r="C137" s="1"/>
      <c r="D137" s="1"/>
      <c r="E137" s="1"/>
      <c r="F137" s="1"/>
      <c r="G137" s="1"/>
      <c r="H137" s="1"/>
      <c r="I137" s="1"/>
      <c r="J137" s="1"/>
      <c r="K137" s="1"/>
      <c r="L137" s="1"/>
      <c r="M137" s="1"/>
      <c r="N137" s="1"/>
    </row>
    <row r="138" spans="2:14">
      <c r="B138" s="1"/>
      <c r="C138" s="1" t="s">
        <v>719</v>
      </c>
      <c r="D138" s="1" t="s">
        <v>191</v>
      </c>
      <c r="E138" s="1"/>
      <c r="F138" s="1"/>
      <c r="G138" s="1"/>
      <c r="H138" s="1"/>
      <c r="I138" s="1"/>
      <c r="J138" s="1"/>
      <c r="K138" s="1"/>
      <c r="L138" s="1"/>
      <c r="M138" s="1"/>
      <c r="N138" s="125">
        <f>(Inputs!$D$140+Inputs!$D$141*Inputs!$D$142)*Inputs!$D$145+Inputs!$D$143*(1-N27)*Inputs!$D$144</f>
        <v>8.636637555144E-2</v>
      </c>
    </row>
    <row r="139" spans="2:14">
      <c r="B139" s="1"/>
      <c r="C139" s="1"/>
      <c r="D139" s="1"/>
      <c r="E139" s="1"/>
      <c r="F139" s="1"/>
      <c r="G139" s="1"/>
      <c r="H139" s="1"/>
      <c r="I139" s="1"/>
      <c r="J139" s="1"/>
      <c r="K139" s="1"/>
      <c r="L139" s="1"/>
      <c r="M139" s="1"/>
      <c r="N139" s="1"/>
    </row>
    <row r="140" spans="2:14" ht="21" customHeight="1">
      <c r="B140" s="177" t="s">
        <v>720</v>
      </c>
      <c r="C140" s="177"/>
      <c r="D140" s="177"/>
      <c r="E140" s="194"/>
      <c r="F140" s="194"/>
      <c r="G140" s="194"/>
      <c r="H140" s="194"/>
      <c r="I140" s="194"/>
      <c r="J140" s="194"/>
      <c r="K140" s="194"/>
      <c r="L140" s="194"/>
      <c r="M140" s="194"/>
      <c r="N140" s="194"/>
    </row>
    <row r="141" spans="2:14">
      <c r="B141" s="1"/>
      <c r="C141" s="1"/>
      <c r="D141" s="1"/>
      <c r="E141" s="1"/>
      <c r="F141" s="1"/>
      <c r="G141" s="1"/>
      <c r="H141" s="1"/>
      <c r="I141" s="1"/>
      <c r="J141" s="1"/>
      <c r="K141" s="1"/>
      <c r="L141" s="1"/>
      <c r="M141" s="1"/>
      <c r="N141" s="1"/>
    </row>
    <row r="142" spans="2:14">
      <c r="B142" s="1"/>
      <c r="C142" s="1" t="s">
        <v>109</v>
      </c>
      <c r="D142" s="1" t="s">
        <v>206</v>
      </c>
      <c r="E142" s="54">
        <f t="shared" ref="E142:N142" si="23">E21</f>
        <v>6675</v>
      </c>
      <c r="F142" s="54">
        <f t="shared" si="23"/>
        <v>5915</v>
      </c>
      <c r="G142" s="54">
        <f t="shared" si="23"/>
        <v>6311</v>
      </c>
      <c r="H142" s="54">
        <f t="shared" si="23"/>
        <v>3702</v>
      </c>
      <c r="I142" s="54">
        <f t="shared" si="23"/>
        <v>3797</v>
      </c>
      <c r="J142" s="54">
        <f t="shared" si="23"/>
        <v>3956.8214399999997</v>
      </c>
      <c r="K142" s="54">
        <f t="shared" si="23"/>
        <v>4762.6619039999969</v>
      </c>
      <c r="L142" s="54">
        <f t="shared" si="23"/>
        <v>5719.5009471599988</v>
      </c>
      <c r="M142" s="54">
        <f t="shared" si="23"/>
        <v>6654.3988122612027</v>
      </c>
      <c r="N142" s="54">
        <f t="shared" si="23"/>
        <v>7555.8442784814997</v>
      </c>
    </row>
    <row r="143" spans="2:14">
      <c r="B143" s="1"/>
      <c r="C143" s="1" t="s">
        <v>721</v>
      </c>
      <c r="D143" s="1" t="s">
        <v>206</v>
      </c>
      <c r="E143" s="54">
        <f t="shared" ref="E143:N143" si="24">-E142*E27</f>
        <v>-607.18313035633741</v>
      </c>
      <c r="F143" s="54">
        <f t="shared" si="24"/>
        <v>-1078.8364779874214</v>
      </c>
      <c r="G143" s="54">
        <f t="shared" si="24"/>
        <v>-941.94029850746256</v>
      </c>
      <c r="H143" s="54">
        <f t="shared" si="24"/>
        <v>-634.62857142857149</v>
      </c>
      <c r="I143" s="54">
        <f t="shared" si="24"/>
        <v>-771.08307692307687</v>
      </c>
      <c r="J143" s="54">
        <f t="shared" si="24"/>
        <v>-803.23502929750077</v>
      </c>
      <c r="K143" s="54">
        <f t="shared" si="24"/>
        <v>-966.82069989833235</v>
      </c>
      <c r="L143" s="54">
        <f t="shared" si="24"/>
        <v>-1161.0590926385462</v>
      </c>
      <c r="M143" s="54">
        <f t="shared" si="24"/>
        <v>-1350.8434246969409</v>
      </c>
      <c r="N143" s="54">
        <f t="shared" si="24"/>
        <v>-1533.836917440844</v>
      </c>
    </row>
    <row r="144" spans="2:14">
      <c r="B144" s="1"/>
      <c r="C144" s="1" t="s">
        <v>722</v>
      </c>
      <c r="D144" s="1" t="s">
        <v>206</v>
      </c>
      <c r="E144" s="54">
        <f t="shared" ref="E144:N144" si="25">E142+E143</f>
        <v>6067.8168696436624</v>
      </c>
      <c r="F144" s="54">
        <f t="shared" si="25"/>
        <v>4836.1635220125791</v>
      </c>
      <c r="G144" s="54">
        <f t="shared" si="25"/>
        <v>5369.059701492537</v>
      </c>
      <c r="H144" s="54">
        <f t="shared" si="25"/>
        <v>3067.3714285714286</v>
      </c>
      <c r="I144" s="54">
        <f t="shared" si="25"/>
        <v>3025.916923076923</v>
      </c>
      <c r="J144" s="54">
        <f t="shared" si="25"/>
        <v>3153.5864107024991</v>
      </c>
      <c r="K144" s="54">
        <f t="shared" si="25"/>
        <v>3795.8412041016645</v>
      </c>
      <c r="L144" s="54">
        <f t="shared" si="25"/>
        <v>4558.4418545214521</v>
      </c>
      <c r="M144" s="54">
        <f t="shared" si="25"/>
        <v>5303.5553875642618</v>
      </c>
      <c r="N144" s="54">
        <f t="shared" si="25"/>
        <v>6022.0073610406562</v>
      </c>
    </row>
    <row r="145" spans="2:14">
      <c r="B145" s="1"/>
      <c r="C145" s="1" t="s">
        <v>275</v>
      </c>
      <c r="D145" s="1" t="s">
        <v>206</v>
      </c>
      <c r="E145" s="54">
        <f t="shared" ref="E145:N145" si="26">E53</f>
        <v>717</v>
      </c>
      <c r="F145" s="54">
        <f t="shared" si="26"/>
        <v>703</v>
      </c>
      <c r="G145" s="54">
        <f t="shared" si="26"/>
        <v>796</v>
      </c>
      <c r="H145" s="54">
        <f t="shared" si="26"/>
        <v>775</v>
      </c>
      <c r="I145" s="54">
        <f t="shared" si="26"/>
        <v>747</v>
      </c>
      <c r="J145" s="54">
        <f t="shared" si="26"/>
        <v>772.06272000000001</v>
      </c>
      <c r="K145" s="54">
        <f t="shared" si="26"/>
        <v>810.66585600000008</v>
      </c>
      <c r="L145" s="54">
        <f t="shared" si="26"/>
        <v>855.25247808000006</v>
      </c>
      <c r="M145" s="54">
        <f t="shared" si="26"/>
        <v>902.29136437440002</v>
      </c>
      <c r="N145" s="54">
        <f t="shared" si="26"/>
        <v>951.91738941499193</v>
      </c>
    </row>
    <row r="146" spans="2:14">
      <c r="B146" s="1"/>
      <c r="C146" s="1" t="s">
        <v>285</v>
      </c>
      <c r="D146" s="1" t="s">
        <v>206</v>
      </c>
      <c r="E146" s="54">
        <f t="shared" ref="E146:N146" si="27">-E52</f>
        <v>-758</v>
      </c>
      <c r="F146" s="54">
        <f t="shared" si="27"/>
        <v>-969</v>
      </c>
      <c r="G146" s="54">
        <f t="shared" si="27"/>
        <v>-812</v>
      </c>
      <c r="H146" s="54">
        <f t="shared" si="27"/>
        <v>-430</v>
      </c>
      <c r="I146" s="54">
        <f t="shared" si="27"/>
        <v>-684</v>
      </c>
      <c r="J146" s="54">
        <f t="shared" si="27"/>
        <v>-1061.5862399999999</v>
      </c>
      <c r="K146" s="54">
        <f t="shared" si="27"/>
        <v>-1063.9989360000002</v>
      </c>
      <c r="L146" s="54">
        <f t="shared" si="27"/>
        <v>-1069.0655976</v>
      </c>
      <c r="M146" s="54">
        <f t="shared" si="27"/>
        <v>-1071.4709951945999</v>
      </c>
      <c r="N146" s="54">
        <f t="shared" si="27"/>
        <v>-1070.9070630918659</v>
      </c>
    </row>
    <row r="147" spans="2:14">
      <c r="B147" s="1"/>
      <c r="C147" s="1" t="s">
        <v>693</v>
      </c>
      <c r="D147" s="1" t="s">
        <v>206</v>
      </c>
      <c r="E147" s="54" t="str">
        <f>""</f>
        <v/>
      </c>
      <c r="F147" s="54">
        <f t="shared" ref="F147:N147" si="28">-F46</f>
        <v>-286</v>
      </c>
      <c r="G147" s="54">
        <f t="shared" si="28"/>
        <v>1012</v>
      </c>
      <c r="H147" s="54">
        <f t="shared" si="28"/>
        <v>543</v>
      </c>
      <c r="I147" s="54">
        <f t="shared" si="28"/>
        <v>-1360</v>
      </c>
      <c r="J147" s="54">
        <f t="shared" si="28"/>
        <v>364.92357499007812</v>
      </c>
      <c r="K147" s="54">
        <f t="shared" si="28"/>
        <v>175.62195428208724</v>
      </c>
      <c r="L147" s="54">
        <f t="shared" si="28"/>
        <v>102.71691462317722</v>
      </c>
      <c r="M147" s="54">
        <f t="shared" si="28"/>
        <v>107.24785523541868</v>
      </c>
      <c r="N147" s="54">
        <f t="shared" si="28"/>
        <v>111.96387168812726</v>
      </c>
    </row>
    <row r="148" spans="2:14">
      <c r="B148" s="1"/>
      <c r="C148" s="122" t="s">
        <v>723</v>
      </c>
      <c r="D148" s="122" t="s">
        <v>206</v>
      </c>
      <c r="E148" s="123" t="str">
        <f>""</f>
        <v/>
      </c>
      <c r="F148" s="123">
        <f t="shared" ref="F148:N148" si="29">SUM(F144:F147)</f>
        <v>4284.1635220125791</v>
      </c>
      <c r="G148" s="123">
        <f t="shared" si="29"/>
        <v>6365.059701492537</v>
      </c>
      <c r="H148" s="123">
        <f t="shared" si="29"/>
        <v>3955.3714285714286</v>
      </c>
      <c r="I148" s="123">
        <f t="shared" si="29"/>
        <v>1728.916923076923</v>
      </c>
      <c r="J148" s="123">
        <f t="shared" si="29"/>
        <v>3228.9864656925774</v>
      </c>
      <c r="K148" s="123">
        <f t="shared" si="29"/>
        <v>3718.1300783837523</v>
      </c>
      <c r="L148" s="123">
        <f t="shared" si="29"/>
        <v>4447.3456496246299</v>
      </c>
      <c r="M148" s="123">
        <f t="shared" si="29"/>
        <v>5241.6236119794803</v>
      </c>
      <c r="N148" s="123">
        <f t="shared" si="29"/>
        <v>6014.9815590519092</v>
      </c>
    </row>
    <row r="149" spans="2:14">
      <c r="B149" s="1"/>
      <c r="C149" s="1" t="s">
        <v>724</v>
      </c>
      <c r="D149" s="1" t="s">
        <v>561</v>
      </c>
      <c r="E149" s="54"/>
      <c r="F149" s="54"/>
      <c r="G149" s="54"/>
      <c r="H149" s="54"/>
      <c r="I149" s="54"/>
      <c r="J149" s="126">
        <f>1/(1+$N$138)^1</f>
        <v>0.92049977107621683</v>
      </c>
      <c r="K149" s="126">
        <f>1/(1+$N$138)^2</f>
        <v>0.84731982855136756</v>
      </c>
      <c r="L149" s="126">
        <f>1/(1+$N$138)^3</f>
        <v>0.7799577082098732</v>
      </c>
      <c r="M149" s="126">
        <f>1/(1+$N$138)^4</f>
        <v>0.717950891856319</v>
      </c>
      <c r="N149" s="126">
        <f>1/(1+$N$138)^5</f>
        <v>0.66087363159770729</v>
      </c>
    </row>
    <row r="150" spans="2:14">
      <c r="B150" s="1"/>
      <c r="C150" s="122" t="s">
        <v>725</v>
      </c>
      <c r="D150" s="122" t="s">
        <v>206</v>
      </c>
      <c r="E150" s="123"/>
      <c r="F150" s="123"/>
      <c r="G150" s="123"/>
      <c r="H150" s="123"/>
      <c r="I150" s="123"/>
      <c r="J150" s="123">
        <f>J148*J149</f>
        <v>2972.2813024782199</v>
      </c>
      <c r="K150" s="123">
        <f>K148*K149</f>
        <v>3150.4453405478039</v>
      </c>
      <c r="L150" s="123">
        <f>L148*L149</f>
        <v>3468.7415204983763</v>
      </c>
      <c r="M150" s="123">
        <f>M148*M149</f>
        <v>3763.2283469958079</v>
      </c>
      <c r="N150" s="123">
        <f>N148*N149</f>
        <v>3975.1427069238744</v>
      </c>
    </row>
    <row r="151" spans="2:14">
      <c r="B151" s="1"/>
      <c r="C151" s="1"/>
      <c r="D151" s="1"/>
      <c r="E151" s="54"/>
      <c r="F151" s="54"/>
      <c r="G151" s="54"/>
      <c r="H151" s="54"/>
      <c r="I151" s="54"/>
      <c r="J151" s="54"/>
      <c r="K151" s="54"/>
      <c r="L151" s="54"/>
      <c r="M151" s="54"/>
      <c r="N151" s="54"/>
    </row>
    <row r="152" spans="2:14">
      <c r="B152" s="1"/>
      <c r="C152" s="1" t="s">
        <v>726</v>
      </c>
      <c r="D152" s="1" t="s">
        <v>206</v>
      </c>
      <c r="E152" s="54"/>
      <c r="F152" s="54"/>
      <c r="G152" s="54"/>
      <c r="H152" s="54"/>
      <c r="I152" s="54"/>
      <c r="J152" s="54"/>
      <c r="K152" s="54"/>
      <c r="L152" s="54"/>
      <c r="M152" s="54"/>
      <c r="N152" s="54">
        <f>NPV($N$138,J148:N148)</f>
        <v>17329.839217444081</v>
      </c>
    </row>
    <row r="153" spans="2:14">
      <c r="B153" s="1"/>
      <c r="C153" s="1" t="s">
        <v>727</v>
      </c>
      <c r="D153" s="1" t="s">
        <v>206</v>
      </c>
      <c r="E153" s="54"/>
      <c r="F153" s="54"/>
      <c r="G153" s="54"/>
      <c r="H153" s="54"/>
      <c r="I153" s="54"/>
      <c r="J153" s="54"/>
      <c r="K153" s="54"/>
      <c r="L153" s="54"/>
      <c r="M153" s="54"/>
      <c r="N153" s="54">
        <f>N148*(1+Inputs!$D$146)/($N$138-Inputs!$D$146)</f>
        <v>100467.98499383646</v>
      </c>
    </row>
    <row r="154" spans="2:14">
      <c r="B154" s="1"/>
      <c r="C154" s="1" t="s">
        <v>728</v>
      </c>
      <c r="D154" s="1" t="s">
        <v>206</v>
      </c>
      <c r="E154" s="54"/>
      <c r="F154" s="54"/>
      <c r="G154" s="54"/>
      <c r="H154" s="54"/>
      <c r="I154" s="54"/>
      <c r="J154" s="54"/>
      <c r="K154" s="54"/>
      <c r="L154" s="54"/>
      <c r="M154" s="54"/>
      <c r="N154" s="54">
        <f>N153*N149</f>
        <v>66396.64210218066</v>
      </c>
    </row>
    <row r="155" spans="2:14">
      <c r="B155" s="1"/>
      <c r="C155" s="122" t="s">
        <v>729</v>
      </c>
      <c r="D155" s="122" t="s">
        <v>206</v>
      </c>
      <c r="E155" s="123"/>
      <c r="F155" s="123"/>
      <c r="G155" s="123"/>
      <c r="H155" s="123"/>
      <c r="I155" s="123"/>
      <c r="J155" s="123"/>
      <c r="K155" s="123"/>
      <c r="L155" s="123"/>
      <c r="M155" s="123"/>
      <c r="N155" s="123">
        <f>SUM(J150:N150)+N154</f>
        <v>83726.481319624741</v>
      </c>
    </row>
    <row r="156" spans="2:14">
      <c r="B156" s="1"/>
      <c r="C156" s="1" t="s">
        <v>730</v>
      </c>
      <c r="D156" s="1" t="s">
        <v>206</v>
      </c>
      <c r="E156" s="54"/>
      <c r="F156" s="54"/>
      <c r="G156" s="54"/>
      <c r="H156" s="54"/>
      <c r="I156" s="54"/>
      <c r="J156" s="54"/>
      <c r="K156" s="54"/>
      <c r="L156" s="54"/>
      <c r="M156" s="54"/>
      <c r="N156" s="54">
        <f>I74+I75</f>
        <v>9027</v>
      </c>
    </row>
    <row r="157" spans="2:14">
      <c r="B157" s="1"/>
      <c r="C157" s="1" t="s">
        <v>731</v>
      </c>
      <c r="D157" s="1" t="s">
        <v>206</v>
      </c>
      <c r="E157" s="54"/>
      <c r="F157" s="54"/>
      <c r="G157" s="54"/>
      <c r="H157" s="54"/>
      <c r="I157" s="54"/>
      <c r="J157" s="54"/>
      <c r="K157" s="54"/>
      <c r="L157" s="54"/>
      <c r="M157" s="54"/>
      <c r="N157" s="54">
        <f>I91+I93</f>
        <v>7942</v>
      </c>
    </row>
    <row r="158" spans="2:14">
      <c r="B158" s="1"/>
      <c r="C158" s="122" t="s">
        <v>732</v>
      </c>
      <c r="D158" s="122" t="s">
        <v>206</v>
      </c>
      <c r="E158" s="123"/>
      <c r="F158" s="123"/>
      <c r="G158" s="123"/>
      <c r="H158" s="123"/>
      <c r="I158" s="123"/>
      <c r="J158" s="123"/>
      <c r="K158" s="123"/>
      <c r="L158" s="123"/>
      <c r="M158" s="123"/>
      <c r="N158" s="123">
        <f>N155+N156-N157</f>
        <v>84811.481319624741</v>
      </c>
    </row>
    <row r="159" spans="2:14">
      <c r="B159" s="1"/>
      <c r="C159" s="1" t="s">
        <v>273</v>
      </c>
      <c r="D159" s="1" t="s">
        <v>206</v>
      </c>
      <c r="E159" s="1"/>
      <c r="F159" s="1"/>
      <c r="G159" s="1"/>
      <c r="H159" s="1"/>
      <c r="I159" s="1"/>
      <c r="J159" s="1"/>
      <c r="K159" s="1"/>
      <c r="L159" s="1"/>
      <c r="M159" s="1"/>
      <c r="N159" s="1">
        <f>N29</f>
        <v>1482.6953495167247</v>
      </c>
    </row>
    <row r="160" spans="2:14">
      <c r="B160" s="1"/>
      <c r="C160" s="122" t="s">
        <v>733</v>
      </c>
      <c r="D160" s="122" t="s">
        <v>272</v>
      </c>
      <c r="E160" s="122"/>
      <c r="F160" s="122"/>
      <c r="G160" s="122"/>
      <c r="H160" s="122"/>
      <c r="I160" s="122"/>
      <c r="J160" s="122"/>
      <c r="K160" s="122"/>
      <c r="L160" s="122"/>
      <c r="M160" s="122"/>
      <c r="N160" s="124">
        <f>N158/N159</f>
        <v>57.200881723456213</v>
      </c>
    </row>
    <row r="161" spans="2:14">
      <c r="B161" s="1"/>
      <c r="C161" s="1" t="s">
        <v>601</v>
      </c>
      <c r="D161" s="1" t="s">
        <v>272</v>
      </c>
      <c r="E161" s="1"/>
      <c r="F161" s="1"/>
      <c r="G161" s="1"/>
      <c r="H161" s="1"/>
      <c r="I161" s="1"/>
      <c r="J161" s="1"/>
      <c r="K161" s="1"/>
      <c r="L161" s="1"/>
      <c r="M161" s="1"/>
      <c r="N161" s="106">
        <f>Inputs!$D$152</f>
        <v>40.76</v>
      </c>
    </row>
    <row r="162" spans="2:14">
      <c r="B162" s="1"/>
      <c r="C162" s="122" t="s">
        <v>734</v>
      </c>
      <c r="D162" s="122" t="s">
        <v>191</v>
      </c>
      <c r="E162" s="122"/>
      <c r="F162" s="122"/>
      <c r="G162" s="122"/>
      <c r="H162" s="122"/>
      <c r="I162" s="122"/>
      <c r="J162" s="122"/>
      <c r="K162" s="122"/>
      <c r="L162" s="122"/>
      <c r="M162" s="122"/>
      <c r="N162" s="127">
        <f>N160/N161-1</f>
        <v>0.4033582365911732</v>
      </c>
    </row>
    <row r="163" spans="2:14">
      <c r="B163" s="1"/>
      <c r="C163" s="1"/>
      <c r="D163" s="1"/>
      <c r="E163" s="1"/>
      <c r="F163" s="1"/>
      <c r="G163" s="1"/>
      <c r="H163" s="1"/>
      <c r="I163" s="1"/>
      <c r="J163" s="1"/>
      <c r="K163" s="1"/>
      <c r="L163" s="1"/>
      <c r="M163" s="1"/>
      <c r="N163" s="1"/>
    </row>
    <row r="164" spans="2:14" ht="21" customHeight="1">
      <c r="B164" s="177" t="s">
        <v>57</v>
      </c>
      <c r="C164" s="177"/>
      <c r="D164" s="177"/>
      <c r="E164" s="194"/>
      <c r="F164" s="194"/>
      <c r="G164" s="194"/>
      <c r="H164" s="194"/>
      <c r="I164" s="194"/>
      <c r="J164" s="194"/>
      <c r="K164" s="194"/>
      <c r="L164" s="194"/>
      <c r="M164" s="194"/>
      <c r="N164" s="194"/>
    </row>
    <row r="165" spans="2:14">
      <c r="B165" s="1"/>
      <c r="C165" s="1"/>
      <c r="D165" s="1"/>
      <c r="E165" s="1"/>
      <c r="F165" s="1"/>
      <c r="G165" s="1"/>
      <c r="H165" s="1"/>
      <c r="I165" s="1"/>
      <c r="J165" s="1"/>
      <c r="K165" s="1"/>
      <c r="L165" s="1"/>
      <c r="M165" s="1"/>
      <c r="N165" s="1"/>
    </row>
    <row r="166" spans="2:14">
      <c r="B166" s="1"/>
      <c r="C166" s="1" t="s">
        <v>709</v>
      </c>
      <c r="D166" s="1" t="s">
        <v>206</v>
      </c>
      <c r="E166" s="1"/>
      <c r="F166" s="1"/>
      <c r="G166" s="1"/>
      <c r="H166" s="1"/>
      <c r="I166" s="1"/>
      <c r="J166" s="24">
        <f>J104</f>
        <v>0</v>
      </c>
      <c r="K166" s="24">
        <f>K104</f>
        <v>0</v>
      </c>
      <c r="L166" s="24">
        <f>L104</f>
        <v>0</v>
      </c>
      <c r="M166" s="24">
        <f>M104</f>
        <v>0</v>
      </c>
      <c r="N166" s="24">
        <f>N104</f>
        <v>0</v>
      </c>
    </row>
    <row r="167" spans="2:14">
      <c r="B167" s="1"/>
      <c r="C167" s="1" t="s">
        <v>63</v>
      </c>
      <c r="D167" s="1" t="s">
        <v>206</v>
      </c>
      <c r="E167" s="1"/>
      <c r="F167" s="1"/>
      <c r="G167" s="1"/>
      <c r="H167" s="1"/>
      <c r="I167" s="1"/>
      <c r="J167" s="24">
        <f>J136</f>
        <v>0</v>
      </c>
      <c r="K167" s="24">
        <f>K136</f>
        <v>0</v>
      </c>
      <c r="L167" s="24">
        <f>L136</f>
        <v>0</v>
      </c>
      <c r="M167" s="24">
        <f>M136</f>
        <v>0</v>
      </c>
      <c r="N167" s="24">
        <f>N136</f>
        <v>0</v>
      </c>
    </row>
    <row r="168" spans="2:14">
      <c r="B168" s="1"/>
      <c r="C168" s="1" t="s">
        <v>735</v>
      </c>
      <c r="D168" s="1" t="s">
        <v>206</v>
      </c>
      <c r="E168" s="1"/>
      <c r="F168" s="1"/>
      <c r="G168" s="1"/>
      <c r="H168" s="1"/>
      <c r="I168" s="1"/>
      <c r="J168" s="24">
        <f>J58-(J56-J57)</f>
        <v>0</v>
      </c>
      <c r="K168" s="24">
        <f>K58-(K56-K57)</f>
        <v>0</v>
      </c>
      <c r="L168" s="24">
        <f>L58-(L56-L57)</f>
        <v>0</v>
      </c>
      <c r="M168" s="24">
        <f>M58-(M56-M57)</f>
        <v>0</v>
      </c>
      <c r="N168" s="24">
        <f>N58-(N56-N57)</f>
        <v>0</v>
      </c>
    </row>
    <row r="169" spans="2:14">
      <c r="B169" s="1"/>
      <c r="C169" s="1" t="s">
        <v>736</v>
      </c>
      <c r="D169" s="1" t="s">
        <v>206</v>
      </c>
      <c r="E169" s="1"/>
      <c r="F169" s="1"/>
      <c r="G169" s="1"/>
      <c r="H169" s="1"/>
      <c r="I169" s="1"/>
      <c r="J169" s="24">
        <f>J54-(J51+J52-J53)</f>
        <v>0</v>
      </c>
      <c r="K169" s="24">
        <f>K54-(K51+K52-K53)</f>
        <v>0</v>
      </c>
      <c r="L169" s="24">
        <f>L54-(L51+L52-L53)</f>
        <v>0</v>
      </c>
      <c r="M169" s="24">
        <f>M54-(M51+M52-M53)</f>
        <v>0</v>
      </c>
      <c r="N169" s="24">
        <f>N54-(N51+N52-N53)</f>
        <v>0</v>
      </c>
    </row>
    <row r="170" spans="2:14">
      <c r="B170" s="1"/>
      <c r="C170" s="1" t="s">
        <v>737</v>
      </c>
      <c r="D170" s="1" t="s">
        <v>206</v>
      </c>
      <c r="E170" s="1"/>
      <c r="F170" s="1"/>
      <c r="G170" s="1"/>
      <c r="H170" s="1"/>
      <c r="I170" s="1"/>
      <c r="J170" s="24">
        <f>IF(AND(OR(Inputs!$D$9="Downside",Inputs!$D$9="Stabilization",Inputs!$D$9="Next Run",Inputs!$D$9="Accelerated"),COUNTIF(Dashboard!$D$30:$D$33,"Down")+COUNTIF(Dashboard!$D$30:$D$33,"Base")+COUNTIF(Dashboard!$D$30:$D$33,"Up")=4),0,1)</f>
        <v>0</v>
      </c>
      <c r="K170" s="24">
        <f>IF(AND(OR(Inputs!$D$9="Downside",Inputs!$D$9="Stabilization",Inputs!$D$9="Next Run",Inputs!$D$9="Accelerated"),COUNTIF(Dashboard!$D$30:$D$33,"Down")+COUNTIF(Dashboard!$D$30:$D$33,"Base")+COUNTIF(Dashboard!$D$30:$D$33,"Up")=4),0,1)</f>
        <v>0</v>
      </c>
      <c r="L170" s="24">
        <f>IF(AND(OR(Inputs!$D$9="Downside",Inputs!$D$9="Stabilization",Inputs!$D$9="Next Run",Inputs!$D$9="Accelerated"),COUNTIF(Dashboard!$D$30:$D$33,"Down")+COUNTIF(Dashboard!$D$30:$D$33,"Base")+COUNTIF(Dashboard!$D$30:$D$33,"Up")=4),0,1)</f>
        <v>0</v>
      </c>
      <c r="M170" s="24">
        <f>IF(AND(OR(Inputs!$D$9="Downside",Inputs!$D$9="Stabilization",Inputs!$D$9="Next Run",Inputs!$D$9="Accelerated"),COUNTIF(Dashboard!$D$30:$D$33,"Down")+COUNTIF(Dashboard!$D$30:$D$33,"Base")+COUNTIF(Dashboard!$D$30:$D$33,"Up")=4),0,1)</f>
        <v>0</v>
      </c>
      <c r="N170" s="24">
        <f>IF(AND(OR(Inputs!$D$9="Downside",Inputs!$D$9="Stabilization",Inputs!$D$9="Next Run",Inputs!$D$9="Accelerated"),COUNTIF(Dashboard!$D$30:$D$33,"Down")+COUNTIF(Dashboard!$D$30:$D$33,"Base")+COUNTIF(Dashboard!$D$30:$D$33,"Up")=4),0,1)</f>
        <v>0</v>
      </c>
    </row>
    <row r="171" spans="2:14">
      <c r="B171" s="1"/>
      <c r="C171" s="1" t="s">
        <v>738</v>
      </c>
      <c r="D171" s="1" t="s">
        <v>206</v>
      </c>
      <c r="E171" s="1"/>
      <c r="F171" s="1"/>
      <c r="G171" s="1"/>
      <c r="H171" s="1"/>
      <c r="I171" s="1"/>
      <c r="J171" s="24">
        <f>IF(J148=J144+J145+J146+J147,0,1)</f>
        <v>0</v>
      </c>
      <c r="K171" s="24">
        <f>IF(K148=K144+K145+K146+K147,0,1)</f>
        <v>0</v>
      </c>
      <c r="L171" s="24">
        <f>IF(L148=L144+L145+L146+L147,0,1)</f>
        <v>0</v>
      </c>
      <c r="M171" s="24">
        <f>IF(M148=M144+M145+M146+M147,0,1)</f>
        <v>0</v>
      </c>
      <c r="N171" s="24">
        <f>IF(N148=N144+N145+N146+N147,0,1)</f>
        <v>0</v>
      </c>
    </row>
    <row r="172" spans="2:14">
      <c r="B172" s="1"/>
      <c r="C172" s="1" t="s">
        <v>739</v>
      </c>
      <c r="D172" s="1" t="s">
        <v>61</v>
      </c>
      <c r="E172" s="1"/>
      <c r="F172" s="1"/>
      <c r="G172" s="1"/>
      <c r="H172" s="1"/>
      <c r="I172" s="1"/>
      <c r="J172" s="151" t="str">
        <f>IF(MAX(ABS(J166),ABS(J167),ABS(J168),ABS(J169),ABS(J170),ABS(J171),ABS(J232),ABS(J246))&lt;0.1,"OK","CHECK")</f>
        <v>OK</v>
      </c>
      <c r="K172" s="151" t="str">
        <f>IF(MAX(ABS(K166),ABS(K167),ABS(K168),ABS(K169),ABS(K170),ABS(K171),ABS(K232),ABS(K246))&lt;0.1,"OK","CHECK")</f>
        <v>OK</v>
      </c>
      <c r="L172" s="151" t="str">
        <f>IF(MAX(ABS(L166),ABS(L167),ABS(L168),ABS(L169),ABS(L170),ABS(L171),ABS(L232),ABS(L246))&lt;0.1,"OK","CHECK")</f>
        <v>OK</v>
      </c>
      <c r="M172" s="151" t="str">
        <f>IF(MAX(ABS(M166),ABS(M167),ABS(M168),ABS(M169),ABS(M170),ABS(M171),ABS(M232),ABS(M246))&lt;0.1,"OK","CHECK")</f>
        <v>OK</v>
      </c>
      <c r="N172" s="151" t="str">
        <f>IF(MAX(ABS(N166),ABS(N167),ABS(N168),ABS(N169),ABS(N170),ABS(N171),ABS(N232),ABS(N246))&lt;0.1,"OK","CHECK")</f>
        <v>OK</v>
      </c>
    </row>
    <row r="173" spans="2:14">
      <c r="B173" s="1"/>
      <c r="C173" s="1"/>
      <c r="D173" s="1"/>
      <c r="E173" s="1"/>
      <c r="F173" s="1"/>
      <c r="G173" s="1"/>
      <c r="H173" s="1"/>
      <c r="I173" s="1"/>
      <c r="J173" s="1"/>
      <c r="K173" s="1"/>
      <c r="L173" s="1"/>
      <c r="M173" s="1"/>
      <c r="N173" s="1"/>
    </row>
    <row r="174" spans="2:14">
      <c r="B174" s="1"/>
      <c r="C174" s="1"/>
      <c r="D174" s="1"/>
      <c r="E174" s="1"/>
      <c r="F174" s="1"/>
      <c r="G174" s="1"/>
      <c r="H174" s="1"/>
      <c r="I174" s="1"/>
      <c r="J174" s="1"/>
      <c r="K174" s="1"/>
      <c r="L174" s="1"/>
      <c r="M174" s="1"/>
      <c r="N174" s="1"/>
    </row>
    <row r="175" spans="2:14">
      <c r="B175" s="1"/>
      <c r="C175" s="1"/>
      <c r="D175" s="1"/>
      <c r="E175" s="1"/>
      <c r="F175" s="1"/>
      <c r="G175" s="1"/>
      <c r="H175" s="1"/>
      <c r="I175" s="1"/>
      <c r="J175" s="1"/>
      <c r="K175" s="1"/>
      <c r="L175" s="1"/>
      <c r="M175" s="1"/>
      <c r="N175" s="1"/>
    </row>
    <row r="176" spans="2:14" ht="21" customHeight="1">
      <c r="B176" s="177" t="s">
        <v>740</v>
      </c>
      <c r="C176" s="177"/>
      <c r="D176" s="177"/>
      <c r="E176" s="194"/>
      <c r="F176" s="194"/>
      <c r="G176" s="194"/>
      <c r="H176" s="194"/>
      <c r="I176" s="194"/>
      <c r="J176" s="194"/>
      <c r="K176" s="194"/>
      <c r="L176" s="194"/>
      <c r="M176" s="194"/>
      <c r="N176" s="194"/>
    </row>
    <row r="177" spans="2:14">
      <c r="B177" s="1"/>
      <c r="C177" s="1"/>
      <c r="D177" s="1"/>
      <c r="E177" s="1"/>
      <c r="F177" s="1"/>
      <c r="G177" s="1"/>
      <c r="H177" s="1"/>
      <c r="I177" s="1"/>
      <c r="J177" s="1"/>
      <c r="K177" s="1"/>
      <c r="L177" s="1"/>
      <c r="M177" s="1"/>
      <c r="N177" s="1"/>
    </row>
    <row r="178" spans="2:14">
      <c r="B178" s="1"/>
      <c r="C178" s="4" t="s">
        <v>741</v>
      </c>
      <c r="D178" s="4" t="s">
        <v>186</v>
      </c>
      <c r="E178" s="146"/>
      <c r="F178" s="146"/>
      <c r="G178" s="146"/>
      <c r="H178" s="146"/>
      <c r="I178" s="146" t="s">
        <v>99</v>
      </c>
      <c r="J178" s="146" t="s">
        <v>100</v>
      </c>
      <c r="K178" s="146" t="s">
        <v>101</v>
      </c>
      <c r="L178" s="146" t="s">
        <v>102</v>
      </c>
      <c r="M178" s="146" t="s">
        <v>103</v>
      </c>
      <c r="N178" s="146" t="s">
        <v>104</v>
      </c>
    </row>
    <row r="179" spans="2:14">
      <c r="B179" s="1"/>
      <c r="C179" s="1" t="s">
        <v>230</v>
      </c>
      <c r="D179" s="1" t="s">
        <v>76</v>
      </c>
      <c r="E179" s="1"/>
      <c r="F179" s="1"/>
      <c r="G179" s="1"/>
      <c r="H179" s="1"/>
      <c r="I179" s="62">
        <f>Inputs!$D$11</f>
        <v>46255</v>
      </c>
      <c r="J179" s="62">
        <f>Inputs!G143</f>
        <v>46538</v>
      </c>
      <c r="K179" s="62">
        <f>Inputs!H143</f>
        <v>46904</v>
      </c>
      <c r="L179" s="62">
        <f>Inputs!I143</f>
        <v>47269</v>
      </c>
      <c r="M179" s="62">
        <f>Inputs!J143</f>
        <v>47634</v>
      </c>
      <c r="N179" s="62">
        <f>Inputs!K143</f>
        <v>47999</v>
      </c>
    </row>
    <row r="180" spans="2:14">
      <c r="B180" s="1"/>
      <c r="C180" s="1" t="s">
        <v>742</v>
      </c>
      <c r="D180" s="1" t="s">
        <v>206</v>
      </c>
      <c r="E180" s="1"/>
      <c r="F180" s="1"/>
      <c r="G180" s="1"/>
      <c r="H180" s="1"/>
      <c r="I180" s="54">
        <f>-Inputs!$D$148</f>
        <v>-250</v>
      </c>
      <c r="J180" s="54">
        <f>-Inputs!G141</f>
        <v>-500</v>
      </c>
      <c r="K180" s="54">
        <f>-Inputs!H141</f>
        <v>-450</v>
      </c>
      <c r="L180" s="54">
        <f>-Inputs!I141</f>
        <v>-300</v>
      </c>
      <c r="M180" s="54">
        <f>-Inputs!J141</f>
        <v>0</v>
      </c>
      <c r="N180" s="54">
        <f>-Inputs!K141</f>
        <v>0</v>
      </c>
    </row>
    <row r="181" spans="2:14">
      <c r="B181" s="1"/>
      <c r="C181" s="1" t="s">
        <v>743</v>
      </c>
      <c r="D181" s="1" t="s">
        <v>206</v>
      </c>
      <c r="E181" s="1"/>
      <c r="F181" s="1"/>
      <c r="G181" s="1"/>
      <c r="H181" s="1"/>
      <c r="I181" s="54">
        <f>0</f>
        <v>0</v>
      </c>
      <c r="J181" s="54">
        <f>J16*Inputs!G142</f>
        <v>0</v>
      </c>
      <c r="K181" s="54">
        <f>K16*Inputs!H142</f>
        <v>506.66616000000005</v>
      </c>
      <c r="L181" s="54">
        <f>L16*Inputs!I142</f>
        <v>1069.0655976</v>
      </c>
      <c r="M181" s="54">
        <f>M16*Inputs!J142</f>
        <v>1691.7963082019999</v>
      </c>
      <c r="N181" s="54">
        <f>N16*Inputs!K142</f>
        <v>2379.7934735374797</v>
      </c>
    </row>
    <row r="182" spans="2:14">
      <c r="B182" s="1"/>
      <c r="C182" s="1" t="s">
        <v>744</v>
      </c>
      <c r="D182" s="1" t="s">
        <v>206</v>
      </c>
      <c r="E182" s="1"/>
      <c r="F182" s="1"/>
      <c r="G182" s="1"/>
      <c r="H182" s="1"/>
      <c r="I182" s="54">
        <f>0</f>
        <v>0</v>
      </c>
      <c r="J182" s="54">
        <f>J181*Inputs!$D$150</f>
        <v>0</v>
      </c>
      <c r="K182" s="54">
        <f>K181*Inputs!$D$150</f>
        <v>126.66654000000001</v>
      </c>
      <c r="L182" s="54">
        <f>L181*Inputs!$D$150</f>
        <v>267.26639940000001</v>
      </c>
      <c r="M182" s="54">
        <f>M181*Inputs!$D$150</f>
        <v>422.94907705049997</v>
      </c>
      <c r="N182" s="54">
        <f>N181*Inputs!$D$150</f>
        <v>594.94836838436993</v>
      </c>
    </row>
    <row r="183" spans="2:14">
      <c r="B183" s="1"/>
      <c r="C183" s="1" t="s">
        <v>745</v>
      </c>
      <c r="D183" s="1" t="s">
        <v>206</v>
      </c>
      <c r="E183" s="1"/>
      <c r="F183" s="1"/>
      <c r="G183" s="1"/>
      <c r="H183" s="1"/>
      <c r="I183" s="54">
        <f>0</f>
        <v>0</v>
      </c>
      <c r="J183" s="54">
        <f>-J182*J27</f>
        <v>0</v>
      </c>
      <c r="K183" s="54">
        <f>-K182*K27</f>
        <v>-25.713316486657796</v>
      </c>
      <c r="L183" s="54">
        <f>-L182*L27</f>
        <v>-54.255097786847969</v>
      </c>
      <c r="M183" s="54">
        <f>-M182*M27</f>
        <v>-85.858692247686875</v>
      </c>
      <c r="N183" s="54">
        <f>-N182*N27</f>
        <v>-120.77456042841288</v>
      </c>
    </row>
    <row r="184" spans="2:14">
      <c r="B184" s="1"/>
      <c r="C184" s="1" t="s">
        <v>746</v>
      </c>
      <c r="D184" s="1" t="s">
        <v>206</v>
      </c>
      <c r="E184" s="1"/>
      <c r="F184" s="1"/>
      <c r="G184" s="1"/>
      <c r="H184" s="1"/>
      <c r="I184" s="54">
        <f>0</f>
        <v>0</v>
      </c>
      <c r="J184" s="54">
        <f>-J181*Inputs!$D$151</f>
        <v>0</v>
      </c>
      <c r="K184" s="54">
        <f>-(K181-J181)*Inputs!$D$151</f>
        <v>-25.333308000000002</v>
      </c>
      <c r="L184" s="54">
        <f>-(L181-K181)*Inputs!$D$151</f>
        <v>-28.119971880000005</v>
      </c>
      <c r="M184" s="54">
        <f>-(M181-L181)*Inputs!$D$151</f>
        <v>-31.136535530099991</v>
      </c>
      <c r="N184" s="54">
        <f>-(N181-M181)*Inputs!$D$151</f>
        <v>-34.399858266773997</v>
      </c>
    </row>
    <row r="185" spans="2:14">
      <c r="B185" s="1"/>
      <c r="C185" s="1" t="s">
        <v>747</v>
      </c>
      <c r="D185" s="1" t="s">
        <v>206</v>
      </c>
      <c r="E185" s="1"/>
      <c r="F185" s="1"/>
      <c r="G185" s="1"/>
      <c r="H185" s="1"/>
      <c r="I185" s="54">
        <f>0</f>
        <v>0</v>
      </c>
      <c r="J185" s="54">
        <f>0</f>
        <v>0</v>
      </c>
      <c r="K185" s="54">
        <f>0</f>
        <v>0</v>
      </c>
      <c r="L185" s="54">
        <f>0</f>
        <v>0</v>
      </c>
      <c r="M185" s="54">
        <f>0</f>
        <v>0</v>
      </c>
      <c r="N185" s="54">
        <f>N182*Inputs!$D$149</f>
        <v>2974.7418419218498</v>
      </c>
    </row>
    <row r="186" spans="2:14">
      <c r="B186" s="1"/>
      <c r="C186" s="122" t="s">
        <v>748</v>
      </c>
      <c r="D186" s="122" t="s">
        <v>206</v>
      </c>
      <c r="E186" s="122"/>
      <c r="F186" s="122"/>
      <c r="G186" s="122"/>
      <c r="H186" s="122"/>
      <c r="I186" s="123">
        <f>SUM(I180:I185)</f>
        <v>-250</v>
      </c>
      <c r="J186" s="123">
        <f>J180+SUM(J182:J185)</f>
        <v>-500</v>
      </c>
      <c r="K186" s="123">
        <f>K180+SUM(K182:K185)</f>
        <v>-374.38008448665778</v>
      </c>
      <c r="L186" s="123">
        <f>L180+SUM(L182:L185)</f>
        <v>-115.10867026684795</v>
      </c>
      <c r="M186" s="123">
        <f>M180+SUM(M182:M185)</f>
        <v>305.95384927271311</v>
      </c>
      <c r="N186" s="123">
        <f>N180+SUM(N182:N185)</f>
        <v>3414.5157916110329</v>
      </c>
    </row>
    <row r="187" spans="2:14">
      <c r="B187" s="1"/>
      <c r="C187" s="1"/>
      <c r="D187" s="1"/>
      <c r="E187" s="1"/>
      <c r="F187" s="1"/>
      <c r="G187" s="1"/>
      <c r="H187" s="1"/>
      <c r="I187" s="54"/>
      <c r="J187" s="54"/>
      <c r="K187" s="54"/>
      <c r="L187" s="54"/>
      <c r="M187" s="54"/>
      <c r="N187" s="54"/>
    </row>
    <row r="188" spans="2:14">
      <c r="B188" s="1"/>
      <c r="C188" s="122" t="s">
        <v>749</v>
      </c>
      <c r="D188" s="122" t="s">
        <v>206</v>
      </c>
      <c r="E188" s="122"/>
      <c r="F188" s="122"/>
      <c r="G188" s="122"/>
      <c r="H188" s="122"/>
      <c r="I188" s="123"/>
      <c r="J188" s="123"/>
      <c r="K188" s="123"/>
      <c r="L188" s="123"/>
      <c r="M188" s="123"/>
      <c r="N188" s="123">
        <f>NPV(Inputs!$D$147,J186:N186)+I186</f>
        <v>1228.6829279770932</v>
      </c>
    </row>
    <row r="189" spans="2:14">
      <c r="B189" s="1"/>
      <c r="C189" s="1" t="s">
        <v>750</v>
      </c>
      <c r="D189" s="1" t="s">
        <v>191</v>
      </c>
      <c r="E189" s="1"/>
      <c r="F189" s="1"/>
      <c r="G189" s="1"/>
      <c r="H189" s="1"/>
      <c r="I189" s="1"/>
      <c r="J189" s="1"/>
      <c r="K189" s="1"/>
      <c r="L189" s="1"/>
      <c r="M189" s="1"/>
      <c r="N189" s="51">
        <f>IFERROR(XIRR(I186:N186,I179:N179),"N/M")</f>
        <v>0.34866524338722238</v>
      </c>
    </row>
    <row r="190" spans="2:14">
      <c r="B190" s="1"/>
      <c r="C190" s="1" t="s">
        <v>751</v>
      </c>
      <c r="D190" s="1" t="s">
        <v>61</v>
      </c>
      <c r="E190" s="1"/>
      <c r="F190" s="1"/>
      <c r="G190" s="1"/>
      <c r="H190" s="1"/>
      <c r="I190" s="1"/>
      <c r="J190" s="1"/>
      <c r="K190" s="1"/>
      <c r="L190" s="1"/>
      <c r="M190" s="1"/>
      <c r="N190" s="151" t="str">
        <f>IF(AND(N188&gt;0,N189&gt;Inputs!$D$147),"APPROVE WITH MILESTONES","REASSESS")</f>
        <v>APPROVE WITH MILESTONES</v>
      </c>
    </row>
    <row r="191" spans="2:14">
      <c r="B191" s="1"/>
      <c r="C191" s="1"/>
      <c r="D191" s="1"/>
      <c r="E191" s="1"/>
      <c r="F191" s="1"/>
      <c r="G191" s="1"/>
      <c r="H191" s="1"/>
      <c r="I191" s="1"/>
      <c r="J191" s="1"/>
      <c r="K191" s="1"/>
      <c r="L191" s="1"/>
      <c r="M191" s="1"/>
      <c r="N191" s="1"/>
    </row>
    <row r="192" spans="2:14">
      <c r="B192" s="1"/>
      <c r="C192" s="1"/>
      <c r="D192" s="1"/>
      <c r="E192" s="1"/>
      <c r="F192" s="1"/>
      <c r="G192" s="1"/>
      <c r="H192" s="1"/>
      <c r="I192" s="1"/>
      <c r="J192" s="1"/>
      <c r="K192" s="1"/>
      <c r="L192" s="1"/>
      <c r="M192" s="1"/>
      <c r="N192" s="1"/>
    </row>
    <row r="193" spans="2:14">
      <c r="B193" s="1"/>
      <c r="C193" s="1"/>
      <c r="D193" s="1"/>
      <c r="E193" s="1"/>
      <c r="F193" s="1"/>
      <c r="G193" s="1"/>
      <c r="H193" s="1"/>
      <c r="I193" s="1"/>
      <c r="J193" s="1"/>
      <c r="K193" s="1"/>
      <c r="L193" s="1"/>
      <c r="M193" s="1"/>
      <c r="N193" s="1"/>
    </row>
    <row r="194" spans="2:14" ht="21" customHeight="1">
      <c r="B194" s="177" t="s">
        <v>752</v>
      </c>
      <c r="C194" s="177"/>
      <c r="D194" s="177"/>
      <c r="E194" s="194"/>
      <c r="F194" s="194"/>
      <c r="G194" s="194"/>
      <c r="H194" s="194"/>
      <c r="I194" s="194"/>
      <c r="J194" s="194"/>
      <c r="K194" s="194"/>
      <c r="L194" s="194"/>
      <c r="M194" s="194"/>
      <c r="N194" s="194"/>
    </row>
    <row r="195" spans="2:14">
      <c r="B195" s="1"/>
      <c r="C195" s="1"/>
      <c r="D195" s="1"/>
      <c r="E195" s="1"/>
      <c r="F195" s="1"/>
      <c r="G195" s="1"/>
      <c r="H195" s="1"/>
      <c r="I195" s="1"/>
      <c r="J195" s="1"/>
      <c r="K195" s="1"/>
      <c r="L195" s="1"/>
      <c r="M195" s="1"/>
      <c r="N195" s="1"/>
    </row>
    <row r="196" spans="2:14">
      <c r="B196" s="1"/>
      <c r="C196" s="129" t="s">
        <v>98</v>
      </c>
      <c r="D196" s="128" t="s">
        <v>339</v>
      </c>
      <c r="E196" s="147" t="s">
        <v>344</v>
      </c>
      <c r="F196" s="147" t="s">
        <v>351</v>
      </c>
      <c r="G196" s="147" t="s">
        <v>356</v>
      </c>
      <c r="H196" s="147" t="s">
        <v>360</v>
      </c>
      <c r="I196" s="147" t="s">
        <v>365</v>
      </c>
      <c r="J196" s="147" t="s">
        <v>369</v>
      </c>
      <c r="K196" s="147" t="s">
        <v>753</v>
      </c>
      <c r="L196" s="147" t="s">
        <v>754</v>
      </c>
      <c r="M196" s="1"/>
      <c r="N196" s="1"/>
    </row>
    <row r="197" spans="2:14">
      <c r="B197" s="1"/>
      <c r="C197" s="1" t="s">
        <v>755</v>
      </c>
      <c r="D197" s="130">
        <f>Inputs!H223</f>
        <v>19.5</v>
      </c>
      <c r="E197" s="130" t="str">
        <f>Inputs!H224</f>
        <v>N/M</v>
      </c>
      <c r="F197" s="130">
        <f>Inputs!H225</f>
        <v>9.8000000000000007</v>
      </c>
      <c r="G197" s="130">
        <f>Inputs!H226</f>
        <v>12.49</v>
      </c>
      <c r="H197" s="130" t="str">
        <f>Inputs!H227</f>
        <v>N/M</v>
      </c>
      <c r="I197" s="130">
        <f>Inputs!H228</f>
        <v>10.78</v>
      </c>
      <c r="J197" s="130" t="str">
        <f>Inputs!H229</f>
        <v>N/M</v>
      </c>
      <c r="K197" s="83">
        <f>Inputs!H231</f>
        <v>11.635</v>
      </c>
      <c r="L197" s="1"/>
      <c r="M197" s="1"/>
      <c r="N197" s="1"/>
    </row>
    <row r="198" spans="2:14">
      <c r="B198" s="1"/>
      <c r="C198" s="1" t="s">
        <v>756</v>
      </c>
      <c r="D198" s="1"/>
      <c r="E198" s="1"/>
      <c r="F198" s="1"/>
      <c r="G198" s="1"/>
      <c r="H198" s="1"/>
      <c r="I198" s="1"/>
      <c r="J198" s="1"/>
      <c r="K198" s="1"/>
      <c r="L198" s="106">
        <f>J30</f>
        <v>1.9795951571871329</v>
      </c>
      <c r="M198" s="1"/>
      <c r="N198" s="1"/>
    </row>
    <row r="199" spans="2:14">
      <c r="B199" s="1"/>
      <c r="C199" s="1" t="s">
        <v>757</v>
      </c>
      <c r="D199" s="1"/>
      <c r="E199" s="1"/>
      <c r="F199" s="1"/>
      <c r="G199" s="1"/>
      <c r="H199" s="1"/>
      <c r="I199" s="1"/>
      <c r="J199" s="1"/>
      <c r="K199" s="1"/>
      <c r="L199" s="106">
        <f>K197*L198</f>
        <v>23.032589653872289</v>
      </c>
      <c r="M199" s="1"/>
      <c r="N199" s="1"/>
    </row>
    <row r="200" spans="2:14">
      <c r="B200" s="1"/>
      <c r="C200" s="1" t="s">
        <v>758</v>
      </c>
      <c r="D200" s="1"/>
      <c r="E200" s="1"/>
      <c r="F200" s="1"/>
      <c r="G200" s="1"/>
      <c r="H200" s="1"/>
      <c r="I200" s="1"/>
      <c r="J200" s="1"/>
      <c r="K200" s="1"/>
      <c r="L200" s="106">
        <f>N160</f>
        <v>57.200881723456213</v>
      </c>
      <c r="M200" s="1"/>
      <c r="N200" s="1"/>
    </row>
    <row r="201" spans="2:14">
      <c r="B201" s="1"/>
      <c r="C201" s="122" t="s">
        <v>759</v>
      </c>
      <c r="D201" s="122"/>
      <c r="E201" s="122"/>
      <c r="F201" s="122"/>
      <c r="G201" s="122"/>
      <c r="H201" s="122"/>
      <c r="I201" s="122"/>
      <c r="J201" s="122"/>
      <c r="K201" s="122"/>
      <c r="L201" s="124">
        <f>L200*Inputs!$M$144+L199*Inputs!$M$145+N214*Inputs!$M$146</f>
        <v>46.950394102581036</v>
      </c>
      <c r="M201" s="1"/>
      <c r="N201" s="1"/>
    </row>
    <row r="202" spans="2:14">
      <c r="B202" s="1"/>
      <c r="C202" s="1"/>
      <c r="D202" s="1"/>
      <c r="E202" s="1"/>
      <c r="F202" s="1"/>
      <c r="G202" s="1"/>
      <c r="H202" s="1"/>
      <c r="I202" s="1"/>
      <c r="J202" s="1"/>
      <c r="K202" s="1"/>
      <c r="L202" s="1"/>
      <c r="M202" s="1"/>
      <c r="N202" s="1"/>
    </row>
    <row r="203" spans="2:14" ht="25" customHeight="1">
      <c r="B203" s="1"/>
      <c r="C203" s="257" t="s">
        <v>760</v>
      </c>
      <c r="D203" s="258"/>
      <c r="E203" s="259"/>
      <c r="F203" s="259"/>
      <c r="G203" s="259"/>
      <c r="H203" s="259"/>
      <c r="I203" s="259"/>
      <c r="J203" s="259"/>
      <c r="K203" s="259"/>
      <c r="L203" s="259"/>
      <c r="M203" s="259"/>
      <c r="N203" s="260"/>
    </row>
    <row r="204" spans="2:14">
      <c r="B204" s="1"/>
      <c r="C204" s="1"/>
      <c r="D204" s="1"/>
      <c r="E204" s="1"/>
      <c r="F204" s="1"/>
      <c r="G204" s="1"/>
      <c r="H204" s="1"/>
      <c r="I204" s="1"/>
      <c r="J204" s="1"/>
      <c r="K204" s="1"/>
      <c r="L204" s="1"/>
      <c r="M204" s="1"/>
      <c r="N204" s="1"/>
    </row>
    <row r="205" spans="2:14" ht="21" customHeight="1">
      <c r="B205" s="177" t="s">
        <v>761</v>
      </c>
      <c r="C205" s="177"/>
      <c r="D205" s="177"/>
      <c r="E205" s="194"/>
      <c r="F205" s="194"/>
      <c r="G205" s="194"/>
      <c r="H205" s="194"/>
      <c r="I205" s="194"/>
      <c r="J205" s="194"/>
      <c r="K205" s="194"/>
      <c r="L205" s="194"/>
      <c r="M205" s="194"/>
      <c r="N205" s="194"/>
    </row>
    <row r="206" spans="2:14">
      <c r="B206" s="1"/>
      <c r="C206" s="1"/>
      <c r="D206" s="1"/>
      <c r="E206" s="1"/>
      <c r="F206" s="1"/>
      <c r="G206" s="1"/>
      <c r="H206" s="1"/>
      <c r="I206" s="1"/>
      <c r="J206" s="1"/>
      <c r="K206" s="1"/>
      <c r="L206" s="1"/>
      <c r="M206" s="1"/>
      <c r="N206" s="1"/>
    </row>
    <row r="207" spans="2:14">
      <c r="B207" s="1"/>
      <c r="C207" s="1" t="s">
        <v>682</v>
      </c>
      <c r="D207" s="1" t="s">
        <v>561</v>
      </c>
      <c r="E207" s="1"/>
      <c r="F207" s="1"/>
      <c r="G207" s="1"/>
      <c r="H207" s="1"/>
      <c r="I207" s="1"/>
      <c r="J207" s="1"/>
      <c r="K207" s="1"/>
      <c r="L207" s="1"/>
      <c r="M207" s="1"/>
      <c r="N207" s="83">
        <f>Inputs!G367</f>
        <v>1.4904187366926898</v>
      </c>
    </row>
    <row r="208" spans="2:14">
      <c r="B208" s="1"/>
      <c r="C208" s="1" t="s">
        <v>762</v>
      </c>
      <c r="D208" s="1" t="s">
        <v>206</v>
      </c>
      <c r="E208" s="1"/>
      <c r="F208" s="1"/>
      <c r="G208" s="1"/>
      <c r="H208" s="1"/>
      <c r="I208" s="1"/>
      <c r="J208" s="1"/>
      <c r="K208" s="1"/>
      <c r="L208" s="1"/>
      <c r="M208" s="1"/>
      <c r="N208" s="54">
        <f>J16</f>
        <v>48253.919999999998</v>
      </c>
    </row>
    <row r="209" spans="2:14">
      <c r="B209" s="1"/>
      <c r="C209" s="122" t="s">
        <v>763</v>
      </c>
      <c r="D209" s="122" t="s">
        <v>206</v>
      </c>
      <c r="E209" s="122"/>
      <c r="F209" s="122"/>
      <c r="G209" s="122"/>
      <c r="H209" s="122"/>
      <c r="I209" s="122"/>
      <c r="J209" s="122"/>
      <c r="K209" s="122"/>
      <c r="L209" s="122"/>
      <c r="M209" s="122"/>
      <c r="N209" s="123">
        <f>N207*N208</f>
        <v>71918.546486870109</v>
      </c>
    </row>
    <row r="210" spans="2:14">
      <c r="B210" s="1"/>
      <c r="C210" s="1" t="s">
        <v>730</v>
      </c>
      <c r="D210" s="1" t="s">
        <v>206</v>
      </c>
      <c r="E210" s="1"/>
      <c r="F210" s="1"/>
      <c r="G210" s="1"/>
      <c r="H210" s="1"/>
      <c r="I210" s="1"/>
      <c r="J210" s="1"/>
      <c r="K210" s="1"/>
      <c r="L210" s="1"/>
      <c r="M210" s="1"/>
      <c r="N210" s="54">
        <f>I74+I75</f>
        <v>9027</v>
      </c>
    </row>
    <row r="211" spans="2:14">
      <c r="B211" s="1"/>
      <c r="C211" s="1" t="s">
        <v>731</v>
      </c>
      <c r="D211" s="1" t="s">
        <v>206</v>
      </c>
      <c r="E211" s="1"/>
      <c r="F211" s="1"/>
      <c r="G211" s="1"/>
      <c r="H211" s="1"/>
      <c r="I211" s="1"/>
      <c r="J211" s="1"/>
      <c r="K211" s="1"/>
      <c r="L211" s="1"/>
      <c r="M211" s="1"/>
      <c r="N211" s="54">
        <f>I91+I93</f>
        <v>7942</v>
      </c>
    </row>
    <row r="212" spans="2:14">
      <c r="B212" s="1"/>
      <c r="C212" s="122" t="s">
        <v>764</v>
      </c>
      <c r="D212" s="122" t="s">
        <v>206</v>
      </c>
      <c r="E212" s="122"/>
      <c r="F212" s="122"/>
      <c r="G212" s="122"/>
      <c r="H212" s="122"/>
      <c r="I212" s="122"/>
      <c r="J212" s="122"/>
      <c r="K212" s="122"/>
      <c r="L212" s="122"/>
      <c r="M212" s="122"/>
      <c r="N212" s="123">
        <f>N209+N210-N211</f>
        <v>73003.546486870109</v>
      </c>
    </row>
    <row r="213" spans="2:14">
      <c r="B213" s="1"/>
      <c r="C213" s="1" t="s">
        <v>765</v>
      </c>
      <c r="D213" s="1" t="s">
        <v>274</v>
      </c>
      <c r="E213" s="1"/>
      <c r="F213" s="1"/>
      <c r="G213" s="1"/>
      <c r="H213" s="1"/>
      <c r="I213" s="1"/>
      <c r="J213" s="1"/>
      <c r="K213" s="1"/>
      <c r="L213" s="1"/>
      <c r="M213" s="1"/>
      <c r="N213" s="54">
        <f>J29</f>
        <v>1513.1576055423152</v>
      </c>
    </row>
    <row r="214" spans="2:14">
      <c r="B214" s="1"/>
      <c r="C214" s="122" t="s">
        <v>766</v>
      </c>
      <c r="D214" s="122" t="s">
        <v>272</v>
      </c>
      <c r="E214" s="122"/>
      <c r="F214" s="122"/>
      <c r="G214" s="122"/>
      <c r="H214" s="122"/>
      <c r="I214" s="122"/>
      <c r="J214" s="122"/>
      <c r="K214" s="122"/>
      <c r="L214" s="122"/>
      <c r="M214" s="122"/>
      <c r="N214" s="124">
        <f>N212/N213</f>
        <v>48.245831246842037</v>
      </c>
    </row>
    <row r="215" spans="2:14">
      <c r="B215" s="1"/>
      <c r="C215" s="1" t="s">
        <v>767</v>
      </c>
      <c r="D215" s="1" t="s">
        <v>191</v>
      </c>
      <c r="E215" s="1"/>
      <c r="F215" s="1"/>
      <c r="G215" s="1"/>
      <c r="H215" s="1"/>
      <c r="I215" s="1"/>
      <c r="J215" s="1"/>
      <c r="K215" s="1"/>
      <c r="L215" s="1"/>
      <c r="M215" s="1"/>
      <c r="N215" s="51">
        <f>Inputs!$M$146</f>
        <v>0</v>
      </c>
    </row>
    <row r="216" spans="2:14">
      <c r="B216" s="1"/>
      <c r="C216" s="1"/>
      <c r="D216" s="1"/>
      <c r="E216" s="1"/>
      <c r="F216" s="1"/>
      <c r="G216" s="1"/>
      <c r="H216" s="1"/>
      <c r="I216" s="1"/>
      <c r="J216" s="1"/>
      <c r="K216" s="1"/>
      <c r="L216" s="1"/>
      <c r="M216" s="1"/>
      <c r="N216" s="1"/>
    </row>
    <row r="217" spans="2:14">
      <c r="B217" s="1"/>
      <c r="C217" s="185" t="s">
        <v>768</v>
      </c>
      <c r="D217" s="186"/>
      <c r="E217" s="261"/>
      <c r="F217" s="261"/>
      <c r="G217" s="261"/>
      <c r="H217" s="261"/>
      <c r="I217" s="261"/>
      <c r="J217" s="261"/>
      <c r="K217" s="261"/>
      <c r="L217" s="261"/>
      <c r="M217" s="261"/>
      <c r="N217" s="262"/>
    </row>
    <row r="218" spans="2:14">
      <c r="B218" s="1"/>
      <c r="C218" s="191"/>
      <c r="D218" s="192"/>
      <c r="E218" s="263"/>
      <c r="F218" s="263"/>
      <c r="G218" s="263"/>
      <c r="H218" s="263"/>
      <c r="I218" s="263"/>
      <c r="J218" s="263"/>
      <c r="K218" s="263"/>
      <c r="L218" s="263"/>
      <c r="M218" s="263"/>
      <c r="N218" s="264"/>
    </row>
    <row r="219" spans="2:14">
      <c r="B219" s="1"/>
      <c r="C219" s="1"/>
      <c r="D219" s="1"/>
      <c r="E219" s="1"/>
      <c r="F219" s="1"/>
      <c r="G219" s="1"/>
      <c r="H219" s="1"/>
      <c r="I219" s="1"/>
      <c r="J219" s="1"/>
      <c r="K219" s="1"/>
      <c r="L219" s="1"/>
      <c r="M219" s="1"/>
      <c r="N219" s="1"/>
    </row>
    <row r="220" spans="2:14" ht="21" customHeight="1">
      <c r="B220" s="177" t="s">
        <v>769</v>
      </c>
      <c r="C220" s="177"/>
      <c r="D220" s="177"/>
      <c r="E220" s="194"/>
      <c r="F220" s="194"/>
      <c r="G220" s="194"/>
      <c r="H220" s="194"/>
      <c r="I220" s="194"/>
      <c r="J220" s="194"/>
      <c r="K220" s="194"/>
      <c r="L220" s="194"/>
      <c r="M220" s="194"/>
      <c r="N220" s="194"/>
    </row>
    <row r="221" spans="2:14">
      <c r="B221" s="1"/>
      <c r="C221" s="4" t="s">
        <v>770</v>
      </c>
      <c r="D221" s="4" t="s">
        <v>186</v>
      </c>
      <c r="E221" s="143" t="s">
        <v>187</v>
      </c>
      <c r="F221" s="144" t="s">
        <v>188</v>
      </c>
      <c r="G221" s="144" t="s">
        <v>189</v>
      </c>
      <c r="H221" s="144" t="s">
        <v>190</v>
      </c>
      <c r="I221" s="145" t="s">
        <v>99</v>
      </c>
      <c r="J221" s="148" t="s">
        <v>100</v>
      </c>
      <c r="K221" s="149" t="s">
        <v>101</v>
      </c>
      <c r="L221" s="149" t="s">
        <v>102</v>
      </c>
      <c r="M221" s="149" t="s">
        <v>103</v>
      </c>
      <c r="N221" s="150" t="s">
        <v>104</v>
      </c>
    </row>
    <row r="222" spans="2:14">
      <c r="B222" s="1"/>
      <c r="C222" s="1"/>
      <c r="D222" s="1"/>
      <c r="E222" s="1"/>
      <c r="F222" s="1"/>
      <c r="G222" s="1"/>
      <c r="H222" s="1"/>
      <c r="I222" s="1"/>
      <c r="J222" s="1"/>
      <c r="K222" s="1"/>
      <c r="L222" s="1"/>
      <c r="M222" s="1"/>
      <c r="N222" s="1"/>
    </row>
    <row r="223" spans="2:14">
      <c r="B223" s="1"/>
      <c r="C223" s="1" t="s">
        <v>771</v>
      </c>
      <c r="D223" s="1" t="s">
        <v>274</v>
      </c>
      <c r="E223" s="107">
        <f>E29</f>
        <v>1610.8</v>
      </c>
      <c r="F223" s="107">
        <f>F29</f>
        <v>1569.8</v>
      </c>
      <c r="G223" s="107">
        <f>G29</f>
        <v>1529.7</v>
      </c>
      <c r="H223" s="107">
        <f>H29</f>
        <v>1487.6</v>
      </c>
      <c r="I223" s="107">
        <f>I29</f>
        <v>1481</v>
      </c>
      <c r="J223" s="107"/>
      <c r="K223" s="107"/>
      <c r="L223" s="107"/>
      <c r="M223" s="107"/>
      <c r="N223" s="107"/>
    </row>
    <row r="224" spans="2:14">
      <c r="B224" s="1"/>
      <c r="C224" s="1" t="s">
        <v>419</v>
      </c>
      <c r="D224" s="1" t="s">
        <v>274</v>
      </c>
      <c r="E224" s="107" t="str">
        <f>""</f>
        <v/>
      </c>
      <c r="F224" s="107" t="str">
        <f>""</f>
        <v/>
      </c>
      <c r="G224" s="107" t="str">
        <f>""</f>
        <v/>
      </c>
      <c r="H224" s="107" t="str">
        <f>""</f>
        <v/>
      </c>
      <c r="I224" s="107">
        <f>Inputs!$M$154</f>
        <v>1517.499</v>
      </c>
      <c r="J224" s="107"/>
      <c r="K224" s="107"/>
      <c r="L224" s="107"/>
      <c r="M224" s="107"/>
      <c r="N224" s="107"/>
    </row>
    <row r="225" spans="2:14">
      <c r="B225" s="1"/>
      <c r="C225" s="1" t="s">
        <v>772</v>
      </c>
      <c r="D225" s="1" t="s">
        <v>274</v>
      </c>
      <c r="E225" s="107"/>
      <c r="F225" s="107"/>
      <c r="G225" s="107"/>
      <c r="H225" s="107"/>
      <c r="I225" s="107"/>
      <c r="J225" s="107">
        <f>Inputs!$M$154</f>
        <v>1517.499</v>
      </c>
      <c r="K225" s="107">
        <f>J230</f>
        <v>1508.8162110846301</v>
      </c>
      <c r="L225" s="107">
        <f>K230</f>
        <v>1500.6897454509444</v>
      </c>
      <c r="M225" s="107">
        <f>L230</f>
        <v>1493.0931115141011</v>
      </c>
      <c r="N225" s="107">
        <f>M230</f>
        <v>1486.0010791932978</v>
      </c>
    </row>
    <row r="226" spans="2:14">
      <c r="B226" s="1"/>
      <c r="C226" s="1" t="s">
        <v>773</v>
      </c>
      <c r="D226" s="1" t="s">
        <v>206</v>
      </c>
      <c r="E226" s="107"/>
      <c r="F226" s="107"/>
      <c r="G226" s="107"/>
      <c r="H226" s="107"/>
      <c r="I226" s="107"/>
      <c r="J226" s="107">
        <f>J68</f>
        <v>500</v>
      </c>
      <c r="K226" s="107">
        <f>K68</f>
        <v>500</v>
      </c>
      <c r="L226" s="107">
        <f>L68</f>
        <v>500</v>
      </c>
      <c r="M226" s="107">
        <f>M68</f>
        <v>500</v>
      </c>
      <c r="N226" s="107">
        <f>N68</f>
        <v>500</v>
      </c>
    </row>
    <row r="227" spans="2:14">
      <c r="B227" s="1"/>
      <c r="C227" s="1" t="s">
        <v>774</v>
      </c>
      <c r="D227" s="1" t="s">
        <v>272</v>
      </c>
      <c r="E227" s="107"/>
      <c r="F227" s="107"/>
      <c r="G227" s="107"/>
      <c r="H227" s="107"/>
      <c r="I227" s="107"/>
      <c r="J227" s="106">
        <f>Inputs!$D$152*(1+Inputs!$M$147)^1</f>
        <v>42.798000000000002</v>
      </c>
      <c r="K227" s="106">
        <f>Inputs!$D$152*(1+Inputs!$M$147)^2</f>
        <v>44.937899999999999</v>
      </c>
      <c r="L227" s="106">
        <f>Inputs!$D$152*(1+Inputs!$M$147)^3</f>
        <v>47.184795000000001</v>
      </c>
      <c r="M227" s="106">
        <f>Inputs!$D$152*(1+Inputs!$M$147)^4</f>
        <v>49.544034749999994</v>
      </c>
      <c r="N227" s="106">
        <f>Inputs!$D$152*(1+Inputs!$M$147)^5</f>
        <v>52.021236487500005</v>
      </c>
    </row>
    <row r="228" spans="2:14">
      <c r="B228" s="1"/>
      <c r="C228" s="1" t="s">
        <v>775</v>
      </c>
      <c r="D228" s="1" t="s">
        <v>274</v>
      </c>
      <c r="E228" s="107"/>
      <c r="F228" s="107"/>
      <c r="G228" s="107"/>
      <c r="H228" s="107"/>
      <c r="I228" s="107"/>
      <c r="J228" s="107">
        <f>J226/J227</f>
        <v>11.682788915369876</v>
      </c>
      <c r="K228" s="107">
        <f>K226/K227</f>
        <v>11.126465633685598</v>
      </c>
      <c r="L228" s="107">
        <f>L226/L227</f>
        <v>10.596633936843425</v>
      </c>
      <c r="M228" s="107">
        <f>M226/M227</f>
        <v>10.092032320803265</v>
      </c>
      <c r="N228" s="107">
        <f>N226/N227</f>
        <v>9.611459353145964</v>
      </c>
    </row>
    <row r="229" spans="2:14">
      <c r="B229" s="1"/>
      <c r="C229" s="1" t="s">
        <v>637</v>
      </c>
      <c r="D229" s="1" t="s">
        <v>274</v>
      </c>
      <c r="E229" s="107"/>
      <c r="F229" s="107"/>
      <c r="G229" s="107"/>
      <c r="H229" s="107"/>
      <c r="I229" s="107"/>
      <c r="J229" s="107">
        <f>Inputs!$M$148</f>
        <v>3</v>
      </c>
      <c r="K229" s="107">
        <f>Inputs!$M$148</f>
        <v>3</v>
      </c>
      <c r="L229" s="107">
        <f>Inputs!$M$148</f>
        <v>3</v>
      </c>
      <c r="M229" s="107">
        <f>Inputs!$M$148</f>
        <v>3</v>
      </c>
      <c r="N229" s="107">
        <f>Inputs!$M$148</f>
        <v>3</v>
      </c>
    </row>
    <row r="230" spans="2:14">
      <c r="B230" s="1"/>
      <c r="C230" s="122" t="s">
        <v>776</v>
      </c>
      <c r="D230" s="122" t="s">
        <v>274</v>
      </c>
      <c r="E230" s="131"/>
      <c r="F230" s="131"/>
      <c r="G230" s="131"/>
      <c r="H230" s="131"/>
      <c r="I230" s="131"/>
      <c r="J230" s="131">
        <f>MAX(1,J225-J228+J229)</f>
        <v>1508.8162110846301</v>
      </c>
      <c r="K230" s="131">
        <f>MAX(1,K225-K228+K229)</f>
        <v>1500.6897454509444</v>
      </c>
      <c r="L230" s="131">
        <f>MAX(1,L225-L228+L229)</f>
        <v>1493.0931115141011</v>
      </c>
      <c r="M230" s="131">
        <f>MAX(1,M225-M228+M229)</f>
        <v>1486.0010791932978</v>
      </c>
      <c r="N230" s="131">
        <f>MAX(1,N225-N228+N229)</f>
        <v>1479.3896198401517</v>
      </c>
    </row>
    <row r="231" spans="2:14">
      <c r="B231" s="1"/>
      <c r="C231" s="122" t="s">
        <v>777</v>
      </c>
      <c r="D231" s="122" t="s">
        <v>274</v>
      </c>
      <c r="E231" s="131"/>
      <c r="F231" s="131"/>
      <c r="G231" s="131"/>
      <c r="H231" s="131"/>
      <c r="I231" s="131"/>
      <c r="J231" s="131">
        <f>AVERAGE(J225,J230)</f>
        <v>1513.1576055423152</v>
      </c>
      <c r="K231" s="131">
        <f>AVERAGE(K225,K230)</f>
        <v>1504.7529782677873</v>
      </c>
      <c r="L231" s="131">
        <f>AVERAGE(L225,L230)</f>
        <v>1496.8914284825228</v>
      </c>
      <c r="M231" s="131">
        <f>AVERAGE(M225,M230)</f>
        <v>1489.5470953536994</v>
      </c>
      <c r="N231" s="131">
        <f>AVERAGE(N225,N230)</f>
        <v>1482.6953495167247</v>
      </c>
    </row>
    <row r="232" spans="2:14">
      <c r="B232" s="1"/>
      <c r="C232" s="122" t="s">
        <v>778</v>
      </c>
      <c r="D232" s="122" t="s">
        <v>274</v>
      </c>
      <c r="E232" s="131"/>
      <c r="F232" s="131"/>
      <c r="G232" s="131"/>
      <c r="H232" s="131"/>
      <c r="I232" s="131"/>
      <c r="J232" s="131">
        <f>J29-J231</f>
        <v>0</v>
      </c>
      <c r="K232" s="131">
        <f>K29-K231</f>
        <v>0</v>
      </c>
      <c r="L232" s="131">
        <f>L29-L231</f>
        <v>0</v>
      </c>
      <c r="M232" s="131">
        <f>M29-M231</f>
        <v>0</v>
      </c>
      <c r="N232" s="131">
        <f>N29-N231</f>
        <v>0</v>
      </c>
    </row>
    <row r="233" spans="2:14">
      <c r="B233" s="1"/>
      <c r="C233" s="1"/>
      <c r="D233" s="1"/>
      <c r="E233" s="1"/>
      <c r="F233" s="1"/>
      <c r="G233" s="1"/>
      <c r="H233" s="1"/>
      <c r="I233" s="1"/>
      <c r="J233" s="1"/>
      <c r="K233" s="1"/>
      <c r="L233" s="1"/>
      <c r="M233" s="1"/>
      <c r="N233" s="1"/>
    </row>
    <row r="234" spans="2:14" ht="21" customHeight="1">
      <c r="B234" s="177" t="s">
        <v>779</v>
      </c>
      <c r="C234" s="177"/>
      <c r="D234" s="177"/>
      <c r="E234" s="194"/>
      <c r="F234" s="194"/>
      <c r="G234" s="194"/>
      <c r="H234" s="194"/>
      <c r="I234" s="194"/>
      <c r="J234" s="194"/>
      <c r="K234" s="194"/>
      <c r="L234" s="194"/>
      <c r="M234" s="194"/>
      <c r="N234" s="194"/>
    </row>
    <row r="235" spans="2:14">
      <c r="B235" s="1"/>
      <c r="C235" s="4" t="s">
        <v>780</v>
      </c>
      <c r="D235" s="4" t="s">
        <v>186</v>
      </c>
      <c r="E235" s="143" t="s">
        <v>187</v>
      </c>
      <c r="F235" s="144" t="s">
        <v>188</v>
      </c>
      <c r="G235" s="144" t="s">
        <v>189</v>
      </c>
      <c r="H235" s="144" t="s">
        <v>190</v>
      </c>
      <c r="I235" s="145" t="s">
        <v>99</v>
      </c>
      <c r="J235" s="148" t="s">
        <v>100</v>
      </c>
      <c r="K235" s="149" t="s">
        <v>101</v>
      </c>
      <c r="L235" s="149" t="s">
        <v>102</v>
      </c>
      <c r="M235" s="149" t="s">
        <v>103</v>
      </c>
      <c r="N235" s="150" t="s">
        <v>104</v>
      </c>
    </row>
    <row r="236" spans="2:14">
      <c r="B236" s="1"/>
      <c r="C236" s="1" t="s">
        <v>270</v>
      </c>
      <c r="D236" s="1" t="s">
        <v>206</v>
      </c>
      <c r="E236" s="54">
        <f t="shared" ref="E236:N236" si="30">E25</f>
        <v>6651</v>
      </c>
      <c r="F236" s="54">
        <f t="shared" si="30"/>
        <v>6201</v>
      </c>
      <c r="G236" s="54">
        <f t="shared" si="30"/>
        <v>6700</v>
      </c>
      <c r="H236" s="54">
        <f t="shared" si="30"/>
        <v>3885</v>
      </c>
      <c r="I236" s="54">
        <f t="shared" si="30"/>
        <v>3900</v>
      </c>
      <c r="J236" s="54">
        <f t="shared" si="30"/>
        <v>3758.3936399999998</v>
      </c>
      <c r="K236" s="54">
        <f t="shared" si="30"/>
        <v>4608.6980896476825</v>
      </c>
      <c r="L236" s="54">
        <f t="shared" si="30"/>
        <v>5620.5297719601203</v>
      </c>
      <c r="M236" s="54">
        <f t="shared" si="30"/>
        <v>6620.0585077910464</v>
      </c>
      <c r="N236" s="54">
        <f t="shared" si="30"/>
        <v>7598.9857363049769</v>
      </c>
    </row>
    <row r="237" spans="2:14">
      <c r="B237" s="1"/>
      <c r="C237" s="1" t="s">
        <v>781</v>
      </c>
      <c r="D237" s="1" t="s">
        <v>206</v>
      </c>
      <c r="E237" s="54">
        <f t="shared" ref="E237:N237" si="31">E53</f>
        <v>717</v>
      </c>
      <c r="F237" s="54">
        <f t="shared" si="31"/>
        <v>703</v>
      </c>
      <c r="G237" s="54">
        <f t="shared" si="31"/>
        <v>796</v>
      </c>
      <c r="H237" s="54">
        <f t="shared" si="31"/>
        <v>775</v>
      </c>
      <c r="I237" s="54">
        <f t="shared" si="31"/>
        <v>747</v>
      </c>
      <c r="J237" s="54">
        <f t="shared" si="31"/>
        <v>772.06272000000001</v>
      </c>
      <c r="K237" s="54">
        <f t="shared" si="31"/>
        <v>810.66585600000008</v>
      </c>
      <c r="L237" s="54">
        <f t="shared" si="31"/>
        <v>855.25247808000006</v>
      </c>
      <c r="M237" s="54">
        <f t="shared" si="31"/>
        <v>902.29136437440002</v>
      </c>
      <c r="N237" s="54">
        <f t="shared" si="31"/>
        <v>951.91738941499193</v>
      </c>
    </row>
    <row r="238" spans="2:14">
      <c r="B238" s="1"/>
      <c r="C238" s="1" t="s">
        <v>782</v>
      </c>
      <c r="D238" s="1" t="s">
        <v>206</v>
      </c>
      <c r="E238" s="54" t="str">
        <f t="shared" ref="E238:I241" si="32">"N/D"</f>
        <v>N/D</v>
      </c>
      <c r="F238" s="54" t="str">
        <f t="shared" si="32"/>
        <v>N/D</v>
      </c>
      <c r="G238" s="54" t="str">
        <f t="shared" si="32"/>
        <v>N/D</v>
      </c>
      <c r="H238" s="54" t="str">
        <f t="shared" si="32"/>
        <v>N/D</v>
      </c>
      <c r="I238" s="54" t="str">
        <f t="shared" si="32"/>
        <v>N/D</v>
      </c>
      <c r="J238" s="54">
        <f>J237*Inputs!$M$152</f>
        <v>849.26899200000014</v>
      </c>
      <c r="K238" s="54">
        <f>K237*Inputs!$M$152</f>
        <v>891.73244160000013</v>
      </c>
      <c r="L238" s="54">
        <f>L237*Inputs!$M$152</f>
        <v>940.77772588800019</v>
      </c>
      <c r="M238" s="54">
        <f>M237*Inputs!$M$152</f>
        <v>992.52050081184007</v>
      </c>
      <c r="N238" s="54">
        <f>N237*Inputs!$M$152</f>
        <v>1047.1091283564913</v>
      </c>
    </row>
    <row r="239" spans="2:14">
      <c r="B239" s="1"/>
      <c r="C239" s="1" t="s">
        <v>783</v>
      </c>
      <c r="D239" s="1" t="s">
        <v>206</v>
      </c>
      <c r="E239" s="54" t="str">
        <f t="shared" si="32"/>
        <v>N/D</v>
      </c>
      <c r="F239" s="54" t="str">
        <f t="shared" si="32"/>
        <v>N/D</v>
      </c>
      <c r="G239" s="54" t="str">
        <f t="shared" si="32"/>
        <v>N/D</v>
      </c>
      <c r="H239" s="54" t="str">
        <f t="shared" si="32"/>
        <v>N/D</v>
      </c>
      <c r="I239" s="54" t="str">
        <f t="shared" si="32"/>
        <v>N/D</v>
      </c>
      <c r="J239" s="54">
        <f>J238-J237</f>
        <v>77.206272000000126</v>
      </c>
      <c r="K239" s="54">
        <f>K238-K237</f>
        <v>81.066585600000053</v>
      </c>
      <c r="L239" s="54">
        <f>L238-L237</f>
        <v>85.525247808000131</v>
      </c>
      <c r="M239" s="54">
        <f>M238-M237</f>
        <v>90.229136437440047</v>
      </c>
      <c r="N239" s="54">
        <f>N238-N237</f>
        <v>95.191738941499352</v>
      </c>
    </row>
    <row r="240" spans="2:14">
      <c r="B240" s="1"/>
      <c r="C240" s="1" t="s">
        <v>784</v>
      </c>
      <c r="D240" s="1" t="s">
        <v>206</v>
      </c>
      <c r="E240" s="54" t="str">
        <f t="shared" si="32"/>
        <v>N/D</v>
      </c>
      <c r="F240" s="54" t="str">
        <f t="shared" si="32"/>
        <v>N/D</v>
      </c>
      <c r="G240" s="54" t="str">
        <f t="shared" si="32"/>
        <v>N/D</v>
      </c>
      <c r="H240" s="54" t="str">
        <f t="shared" si="32"/>
        <v>N/D</v>
      </c>
      <c r="I240" s="54" t="str">
        <f t="shared" si="32"/>
        <v>N/D</v>
      </c>
      <c r="J240" s="54">
        <f>J236*Inputs!$M$153</f>
        <v>-125.27853520212</v>
      </c>
      <c r="K240" s="54">
        <f>K236*Inputs!$M$153</f>
        <v>-153.62173342222621</v>
      </c>
      <c r="L240" s="54">
        <f>L236*Inputs!$M$153</f>
        <v>-187.34911888874669</v>
      </c>
      <c r="M240" s="54">
        <f>M236*Inputs!$M$153</f>
        <v>-220.66641024019896</v>
      </c>
      <c r="N240" s="54">
        <f>N236*Inputs!$M$153</f>
        <v>-253.2969915482538</v>
      </c>
    </row>
    <row r="241" spans="2:14">
      <c r="B241" s="1"/>
      <c r="C241" s="122" t="s">
        <v>785</v>
      </c>
      <c r="D241" s="122" t="s">
        <v>206</v>
      </c>
      <c r="E241" s="123" t="str">
        <f t="shared" si="32"/>
        <v>N/D</v>
      </c>
      <c r="F241" s="123" t="str">
        <f t="shared" si="32"/>
        <v>N/D</v>
      </c>
      <c r="G241" s="123" t="str">
        <f t="shared" si="32"/>
        <v>N/D</v>
      </c>
      <c r="H241" s="123" t="str">
        <f t="shared" si="32"/>
        <v>N/D</v>
      </c>
      <c r="I241" s="123" t="str">
        <f t="shared" si="32"/>
        <v>N/D</v>
      </c>
      <c r="J241" s="123">
        <f>MAX(0,J236-J239+J240)</f>
        <v>3555.9088327978798</v>
      </c>
      <c r="K241" s="123">
        <f>MAX(0,K236-K239+K240)</f>
        <v>4374.0097706254555</v>
      </c>
      <c r="L241" s="123">
        <f>MAX(0,L236-L239+L240)</f>
        <v>5347.6554052633737</v>
      </c>
      <c r="M241" s="123">
        <f>MAX(0,M236-M239+M240)</f>
        <v>6309.1629611134067</v>
      </c>
      <c r="N241" s="123">
        <f>MAX(0,N236-N239+N240)</f>
        <v>7250.4970058152239</v>
      </c>
    </row>
    <row r="242" spans="2:14">
      <c r="B242" s="1"/>
      <c r="C242" s="1" t="s">
        <v>786</v>
      </c>
      <c r="D242" s="1" t="s">
        <v>206</v>
      </c>
      <c r="E242" s="54">
        <f>E26-E113</f>
        <v>1255</v>
      </c>
      <c r="F242" s="54">
        <f>F26-F113</f>
        <v>1248</v>
      </c>
      <c r="G242" s="54">
        <f>G26-G113</f>
        <v>1497</v>
      </c>
      <c r="H242" s="54">
        <f>H26-H113</f>
        <v>954</v>
      </c>
      <c r="I242" s="54">
        <f>I26-I113</f>
        <v>888</v>
      </c>
      <c r="J242" s="54">
        <f>J241*Inputs!$M$151</f>
        <v>746.74085488755475</v>
      </c>
      <c r="K242" s="54">
        <f>K241*Inputs!$M$151</f>
        <v>918.54205183134559</v>
      </c>
      <c r="L242" s="54">
        <f>L241*Inputs!$M$151</f>
        <v>1123.0076351053085</v>
      </c>
      <c r="M242" s="54">
        <f>M241*Inputs!$M$151</f>
        <v>1324.9242218338154</v>
      </c>
      <c r="N242" s="54">
        <f>N241*Inputs!$M$151</f>
        <v>1522.604371221197</v>
      </c>
    </row>
    <row r="243" spans="2:14">
      <c r="B243" s="1"/>
      <c r="C243" s="1" t="s">
        <v>787</v>
      </c>
      <c r="D243" s="1" t="s">
        <v>206</v>
      </c>
      <c r="E243" s="54">
        <f>E113</f>
        <v>-650</v>
      </c>
      <c r="F243" s="54">
        <f>F113</f>
        <v>-117</v>
      </c>
      <c r="G243" s="54">
        <f>G113</f>
        <v>-497</v>
      </c>
      <c r="H243" s="54">
        <f>H113</f>
        <v>-288</v>
      </c>
      <c r="I243" s="54">
        <f>I113</f>
        <v>-96</v>
      </c>
      <c r="J243" s="54">
        <f>J239*Inputs!$M$151</f>
        <v>16.213317120000028</v>
      </c>
      <c r="K243" s="54">
        <f>K239*Inputs!$M$151</f>
        <v>17.02398297600001</v>
      </c>
      <c r="L243" s="54">
        <f>L239*Inputs!$M$151</f>
        <v>17.960302039680027</v>
      </c>
      <c r="M243" s="54">
        <f>M239*Inputs!$M$151</f>
        <v>18.948118651862409</v>
      </c>
      <c r="N243" s="54">
        <f>N239*Inputs!$M$151</f>
        <v>19.990265177714864</v>
      </c>
    </row>
    <row r="244" spans="2:14">
      <c r="B244" s="1"/>
      <c r="C244" s="122" t="s">
        <v>788</v>
      </c>
      <c r="D244" s="122" t="s">
        <v>206</v>
      </c>
      <c r="E244" s="123">
        <f t="shared" ref="E244:I245" si="33">E26</f>
        <v>605</v>
      </c>
      <c r="F244" s="123">
        <f t="shared" si="33"/>
        <v>1131</v>
      </c>
      <c r="G244" s="123">
        <f t="shared" si="33"/>
        <v>1000</v>
      </c>
      <c r="H244" s="123">
        <f t="shared" si="33"/>
        <v>666</v>
      </c>
      <c r="I244" s="123">
        <f t="shared" si="33"/>
        <v>792</v>
      </c>
      <c r="J244" s="123">
        <f>SUM(J242:J243)</f>
        <v>762.9541720075548</v>
      </c>
      <c r="K244" s="123">
        <f>SUM(K242:K243)</f>
        <v>935.56603480734555</v>
      </c>
      <c r="L244" s="123">
        <f>SUM(L242:L243)</f>
        <v>1140.9679371449886</v>
      </c>
      <c r="M244" s="123">
        <f>SUM(M242:M243)</f>
        <v>1343.8723404856778</v>
      </c>
      <c r="N244" s="123">
        <f>SUM(N242:N243)</f>
        <v>1542.5946363989119</v>
      </c>
    </row>
    <row r="245" spans="2:14">
      <c r="B245" s="1"/>
      <c r="C245" s="1" t="s">
        <v>690</v>
      </c>
      <c r="D245" s="1" t="s">
        <v>191</v>
      </c>
      <c r="E245" s="51">
        <f t="shared" si="33"/>
        <v>9.0963764847391368E-2</v>
      </c>
      <c r="F245" s="51">
        <f t="shared" si="33"/>
        <v>0.18238993710691823</v>
      </c>
      <c r="G245" s="51">
        <f t="shared" si="33"/>
        <v>0.14925373134328357</v>
      </c>
      <c r="H245" s="51">
        <f t="shared" si="33"/>
        <v>0.17142857142857143</v>
      </c>
      <c r="I245" s="51">
        <f t="shared" si="33"/>
        <v>0.20307692307692307</v>
      </c>
      <c r="J245" s="51">
        <f>IF(J236&gt;0,J244/J236,0%)</f>
        <v>0.20300007</v>
      </c>
      <c r="K245" s="51">
        <f>IF(K236&gt;0,K244/K236,0%)</f>
        <v>0.20300006999999995</v>
      </c>
      <c r="L245" s="51">
        <f>IF(L236&gt;0,L244/L236,0%)</f>
        <v>0.20300007000000003</v>
      </c>
      <c r="M245" s="51">
        <f>IF(M236&gt;0,M244/M236,0%)</f>
        <v>0.20300006999999998</v>
      </c>
      <c r="N245" s="51">
        <f>IF(N236&gt;0,N244/N236,0%)</f>
        <v>0.20300007</v>
      </c>
    </row>
    <row r="246" spans="2:14">
      <c r="B246" s="1"/>
      <c r="C246" s="122" t="s">
        <v>789</v>
      </c>
      <c r="D246" s="122" t="s">
        <v>206</v>
      </c>
      <c r="E246" s="132">
        <f>0</f>
        <v>0</v>
      </c>
      <c r="F246" s="132">
        <f>0</f>
        <v>0</v>
      </c>
      <c r="G246" s="132">
        <f>0</f>
        <v>0</v>
      </c>
      <c r="H246" s="132">
        <f>0</f>
        <v>0</v>
      </c>
      <c r="I246" s="132">
        <f>0</f>
        <v>0</v>
      </c>
      <c r="J246" s="132">
        <f>J26-J244</f>
        <v>0</v>
      </c>
      <c r="K246" s="132">
        <f>K26-K244</f>
        <v>0</v>
      </c>
      <c r="L246" s="132">
        <f>L26-L244</f>
        <v>0</v>
      </c>
      <c r="M246" s="132">
        <f>M26-M244</f>
        <v>0</v>
      </c>
      <c r="N246" s="132">
        <f>N26-N244</f>
        <v>0</v>
      </c>
    </row>
    <row r="247" spans="2:14">
      <c r="B247" s="1"/>
      <c r="C247" s="1"/>
      <c r="D247" s="1"/>
      <c r="E247" s="1"/>
      <c r="F247" s="1"/>
      <c r="G247" s="1"/>
      <c r="H247" s="1"/>
      <c r="I247" s="1"/>
      <c r="J247" s="1"/>
      <c r="K247" s="1"/>
      <c r="L247" s="1"/>
      <c r="M247" s="1"/>
      <c r="N247" s="1"/>
    </row>
    <row r="248" spans="2:14">
      <c r="B248" s="1"/>
      <c r="C248" s="1"/>
      <c r="D248" s="1"/>
      <c r="E248" s="1"/>
      <c r="F248" s="1"/>
      <c r="G248" s="1"/>
      <c r="H248" s="1"/>
      <c r="I248" s="1"/>
      <c r="J248" s="1"/>
      <c r="K248" s="1"/>
      <c r="L248" s="1"/>
      <c r="M248" s="1"/>
      <c r="N248" s="1"/>
    </row>
    <row r="249" spans="2:14" ht="21" customHeight="1">
      <c r="B249" s="177" t="s">
        <v>790</v>
      </c>
      <c r="C249" s="177"/>
      <c r="D249" s="177"/>
      <c r="E249" s="194"/>
      <c r="F249" s="194"/>
      <c r="G249" s="194"/>
      <c r="H249" s="194"/>
      <c r="I249" s="194"/>
      <c r="J249" s="194"/>
      <c r="K249" s="194"/>
      <c r="L249" s="194"/>
      <c r="M249" s="194"/>
      <c r="N249" s="194"/>
    </row>
    <row r="250" spans="2:14">
      <c r="B250" s="1"/>
      <c r="C250" s="1"/>
      <c r="D250" s="1"/>
      <c r="E250" s="1"/>
      <c r="F250" s="1"/>
      <c r="G250" s="1"/>
      <c r="H250" s="1"/>
      <c r="I250" s="1"/>
      <c r="J250" s="1"/>
      <c r="K250" s="1"/>
      <c r="L250" s="1"/>
      <c r="M250" s="1"/>
      <c r="N250" s="1"/>
    </row>
    <row r="251" spans="2:14">
      <c r="B251" s="1"/>
      <c r="C251" s="265" t="s">
        <v>144</v>
      </c>
      <c r="D251" s="265"/>
      <c r="E251" s="172">
        <v>7.4999999999999997E-2</v>
      </c>
      <c r="F251" s="172">
        <v>0.08</v>
      </c>
      <c r="G251" s="172">
        <v>8.5000000000000006E-2</v>
      </c>
      <c r="H251" s="172">
        <v>0.09</v>
      </c>
      <c r="I251" s="172">
        <v>9.5000000000000001E-2</v>
      </c>
      <c r="J251" s="1"/>
      <c r="K251" s="146" t="s">
        <v>791</v>
      </c>
      <c r="L251" s="146" t="s">
        <v>219</v>
      </c>
      <c r="M251" s="146"/>
      <c r="N251" s="146"/>
    </row>
    <row r="252" spans="2:14">
      <c r="B252" s="1"/>
      <c r="C252" s="1"/>
      <c r="D252" s="173">
        <v>0.02</v>
      </c>
      <c r="E252" s="133">
        <f t="shared" ref="E252:I256" si="34">($J$148/(1+E$251)^1+$K$148/(1+E$251)^2+$L$148/(1+E$251)^3+$M$148/(1+E$251)^4+$N$148/(1+E$251)^5+$N$148*(1+$D252)/(E$251-$D252)/(1+E$251)^5+$N$156-$N$157)/$N$159</f>
        <v>65.220609069513372</v>
      </c>
      <c r="F252" s="133">
        <f t="shared" si="34"/>
        <v>59.5754297027948</v>
      </c>
      <c r="G252" s="133">
        <f t="shared" si="34"/>
        <v>54.803343680152381</v>
      </c>
      <c r="H252" s="133">
        <f t="shared" si="34"/>
        <v>50.717157441908988</v>
      </c>
      <c r="I252" s="133">
        <f t="shared" si="34"/>
        <v>47.179598469949809</v>
      </c>
      <c r="J252" s="1"/>
      <c r="K252" s="1" t="s">
        <v>136</v>
      </c>
      <c r="L252" s="106">
        <f>MIN(E252:I256)</f>
        <v>47.179598469949809</v>
      </c>
      <c r="M252" s="1"/>
      <c r="N252" s="1"/>
    </row>
    <row r="253" spans="2:14">
      <c r="B253" s="1"/>
      <c r="C253" s="1"/>
      <c r="D253" s="173">
        <v>2.2499999999999999E-2</v>
      </c>
      <c r="E253" s="133">
        <f t="shared" si="34"/>
        <v>67.850674382620653</v>
      </c>
      <c r="F253" s="133">
        <f t="shared" si="34"/>
        <v>61.736198334353496</v>
      </c>
      <c r="G253" s="133">
        <f t="shared" si="34"/>
        <v>56.604743258509139</v>
      </c>
      <c r="H253" s="133">
        <f t="shared" si="34"/>
        <v>52.237756015901184</v>
      </c>
      <c r="I253" s="133">
        <f t="shared" si="34"/>
        <v>48.476976791411616</v>
      </c>
      <c r="J253" s="1"/>
      <c r="K253" s="1" t="s">
        <v>792</v>
      </c>
      <c r="L253" s="106">
        <f>N160</f>
        <v>57.200881723456213</v>
      </c>
      <c r="M253" s="1"/>
      <c r="N253" s="1"/>
    </row>
    <row r="254" spans="2:14">
      <c r="B254" s="1"/>
      <c r="C254" s="1"/>
      <c r="D254" s="173">
        <v>2.5000000000000001E-2</v>
      </c>
      <c r="E254" s="133">
        <f t="shared" si="34"/>
        <v>70.743746227038685</v>
      </c>
      <c r="F254" s="133">
        <f t="shared" si="34"/>
        <v>64.093400477872066</v>
      </c>
      <c r="G254" s="133">
        <f t="shared" si="34"/>
        <v>58.556259468395631</v>
      </c>
      <c r="H254" s="133">
        <f t="shared" si="34"/>
        <v>53.87532371096971</v>
      </c>
      <c r="I254" s="133">
        <f t="shared" si="34"/>
        <v>49.867024992977839</v>
      </c>
      <c r="J254" s="1"/>
      <c r="K254" s="1" t="s">
        <v>137</v>
      </c>
      <c r="L254" s="106">
        <f>MAX(E252:I256)</f>
        <v>77.494247197347406</v>
      </c>
      <c r="M254" s="1"/>
      <c r="N254" s="1"/>
    </row>
    <row r="255" spans="2:14">
      <c r="B255" s="1"/>
      <c r="C255" s="1"/>
      <c r="D255" s="173">
        <v>2.75E-2</v>
      </c>
      <c r="E255" s="133">
        <f t="shared" si="34"/>
        <v>73.941351949816507</v>
      </c>
      <c r="F255" s="133">
        <f t="shared" si="34"/>
        <v>66.675098063630514</v>
      </c>
      <c r="G255" s="133">
        <f t="shared" si="34"/>
        <v>60.677472740011403</v>
      </c>
      <c r="H255" s="133">
        <f t="shared" si="34"/>
        <v>55.643896821643736</v>
      </c>
      <c r="I255" s="133">
        <f t="shared" si="34"/>
        <v>51.360039727993424</v>
      </c>
      <c r="J255" s="1"/>
      <c r="K255" s="1"/>
      <c r="L255" s="1"/>
      <c r="M255" s="1"/>
      <c r="N255" s="1"/>
    </row>
    <row r="256" spans="2:14">
      <c r="B256" s="1"/>
      <c r="C256" s="1"/>
      <c r="D256" s="173">
        <v>0.03</v>
      </c>
      <c r="E256" s="133">
        <f t="shared" si="34"/>
        <v>77.494247197347406</v>
      </c>
      <c r="F256" s="133">
        <f t="shared" si="34"/>
        <v>69.514965407964809</v>
      </c>
      <c r="G256" s="133">
        <f t="shared" si="34"/>
        <v>62.991523581774047</v>
      </c>
      <c r="H256" s="133">
        <f t="shared" si="34"/>
        <v>57.559851024873915</v>
      </c>
      <c r="I256" s="133">
        <f t="shared" si="34"/>
        <v>52.967901750317886</v>
      </c>
      <c r="J256" s="1"/>
      <c r="K256" s="1"/>
      <c r="L256" s="1"/>
      <c r="M256" s="1"/>
      <c r="N256" s="1"/>
    </row>
    <row r="257" spans="2:14">
      <c r="B257" s="1"/>
      <c r="C257" s="1"/>
      <c r="D257" s="1"/>
      <c r="E257" s="1"/>
      <c r="F257" s="1"/>
      <c r="G257" s="1"/>
      <c r="H257" s="1"/>
      <c r="I257" s="1"/>
      <c r="J257" s="1"/>
      <c r="K257" s="1"/>
      <c r="L257" s="1"/>
      <c r="M257" s="1"/>
      <c r="N257" s="1"/>
    </row>
    <row r="258" spans="2:14">
      <c r="B258" s="1"/>
      <c r="C258" s="1"/>
      <c r="D258" s="1"/>
      <c r="E258" s="1"/>
      <c r="F258" s="1"/>
      <c r="G258" s="1"/>
      <c r="H258" s="1"/>
      <c r="I258" s="1"/>
      <c r="J258" s="1"/>
      <c r="K258" s="1"/>
      <c r="L258" s="1"/>
      <c r="M258" s="1"/>
      <c r="N258" s="1"/>
    </row>
    <row r="259" spans="2:14" ht="21" customHeight="1">
      <c r="B259" s="177" t="s">
        <v>793</v>
      </c>
      <c r="C259" s="177"/>
      <c r="D259" s="177"/>
      <c r="E259" s="194"/>
      <c r="F259" s="194"/>
      <c r="G259" s="194"/>
      <c r="H259" s="194"/>
      <c r="I259" s="194"/>
      <c r="J259" s="194"/>
      <c r="K259" s="194"/>
      <c r="L259" s="194"/>
      <c r="M259" s="194"/>
      <c r="N259" s="194"/>
    </row>
    <row r="260" spans="2:14">
      <c r="B260" s="1"/>
      <c r="C260" s="1"/>
      <c r="D260" s="1"/>
      <c r="E260" s="1"/>
      <c r="F260" s="1"/>
      <c r="G260" s="1"/>
      <c r="H260" s="1"/>
      <c r="I260" s="1"/>
      <c r="J260" s="1"/>
      <c r="K260" s="1"/>
      <c r="L260" s="1"/>
      <c r="M260" s="1"/>
      <c r="N260" s="1"/>
    </row>
    <row r="261" spans="2:14">
      <c r="B261" s="1"/>
      <c r="C261" s="4" t="s">
        <v>135</v>
      </c>
      <c r="D261" s="4" t="s">
        <v>136</v>
      </c>
      <c r="E261" s="146" t="s">
        <v>137</v>
      </c>
      <c r="F261" s="146" t="s">
        <v>794</v>
      </c>
      <c r="G261" s="1"/>
      <c r="H261" s="1"/>
      <c r="I261" s="1"/>
      <c r="J261" s="1"/>
      <c r="K261" s="1"/>
      <c r="L261" s="1"/>
      <c r="M261" s="1"/>
      <c r="N261" s="1"/>
    </row>
    <row r="262" spans="2:14" ht="28" customHeight="1">
      <c r="B262" s="1"/>
      <c r="C262" s="134" t="s">
        <v>795</v>
      </c>
      <c r="D262" s="135">
        <f>MIN(E252:I256)</f>
        <v>47.179598469949809</v>
      </c>
      <c r="E262" s="135">
        <f>MAX(E252:I256)</f>
        <v>77.494247197347406</v>
      </c>
      <c r="F262" s="136" t="s">
        <v>796</v>
      </c>
      <c r="G262" s="1"/>
      <c r="H262" s="1"/>
      <c r="I262" s="1"/>
      <c r="J262" s="1"/>
      <c r="K262" s="1"/>
      <c r="L262" s="1"/>
      <c r="M262" s="1"/>
      <c r="N262" s="1"/>
    </row>
    <row r="263" spans="2:14" ht="28" customHeight="1">
      <c r="B263" s="1"/>
      <c r="C263" s="137" t="s">
        <v>797</v>
      </c>
      <c r="D263" s="138">
        <f>Inputs!H232*J30</f>
        <v>19.400032540433905</v>
      </c>
      <c r="E263" s="138">
        <f>Inputs!H233*J30</f>
        <v>38.602105565149088</v>
      </c>
      <c r="F263" s="139" t="s">
        <v>798</v>
      </c>
      <c r="G263" s="1"/>
      <c r="H263" s="1"/>
      <c r="I263" s="1"/>
      <c r="J263" s="1"/>
      <c r="K263" s="1"/>
      <c r="L263" s="1"/>
      <c r="M263" s="1"/>
      <c r="N263" s="1"/>
    </row>
    <row r="264" spans="2:14" ht="28" customHeight="1">
      <c r="B264" s="1"/>
      <c r="C264" s="137" t="s">
        <v>112</v>
      </c>
      <c r="D264" s="138">
        <f>(Inputs!G368*J16+N210-N211)/J29</f>
        <v>40.578985146754356</v>
      </c>
      <c r="E264" s="138">
        <f>(Inputs!G369*J16+N210-N211)/J29</f>
        <v>134.65316716098158</v>
      </c>
      <c r="F264" s="139" t="s">
        <v>799</v>
      </c>
      <c r="G264" s="1"/>
      <c r="H264" s="1"/>
      <c r="I264" s="1"/>
      <c r="J264" s="1"/>
      <c r="K264" s="1"/>
      <c r="L264" s="1"/>
      <c r="M264" s="1"/>
      <c r="N264" s="1"/>
    </row>
    <row r="265" spans="2:14" ht="28" customHeight="1">
      <c r="B265" s="1"/>
      <c r="C265" s="140" t="s">
        <v>800</v>
      </c>
      <c r="D265" s="141">
        <f>Inputs!P141</f>
        <v>38.86</v>
      </c>
      <c r="E265" s="141">
        <f>Inputs!P142</f>
        <v>80.17</v>
      </c>
      <c r="F265" s="142" t="s">
        <v>801</v>
      </c>
      <c r="G265" s="1"/>
      <c r="H265" s="1"/>
      <c r="I265" s="1"/>
      <c r="J265" s="1"/>
      <c r="K265" s="1"/>
      <c r="L265" s="1"/>
      <c r="M265" s="1"/>
      <c r="N265" s="1"/>
    </row>
    <row r="266" spans="2:14">
      <c r="B266" s="1"/>
      <c r="C266" s="1"/>
      <c r="D266" s="1"/>
      <c r="E266" s="1"/>
      <c r="F266" s="1"/>
      <c r="G266" s="1"/>
      <c r="H266" s="1"/>
      <c r="I266" s="1"/>
      <c r="J266" s="1"/>
      <c r="K266" s="1"/>
      <c r="L266" s="1"/>
      <c r="M266" s="1"/>
      <c r="N266" s="1"/>
    </row>
    <row r="267" spans="2:14">
      <c r="B267" s="1"/>
      <c r="C267" s="1"/>
      <c r="D267" s="1"/>
      <c r="E267" s="1"/>
      <c r="F267" s="1"/>
      <c r="G267" s="1"/>
      <c r="H267" s="1"/>
      <c r="I267" s="1"/>
      <c r="J267" s="1"/>
      <c r="K267" s="1"/>
      <c r="L267" s="1"/>
      <c r="M267" s="1"/>
      <c r="N267" s="1"/>
    </row>
    <row r="268" spans="2:14">
      <c r="B268" s="1"/>
      <c r="C268" s="1"/>
      <c r="D268" s="1"/>
      <c r="E268" s="1"/>
      <c r="F268" s="1"/>
      <c r="G268" s="1"/>
      <c r="H268" s="1"/>
      <c r="I268" s="1"/>
      <c r="J268" s="1"/>
      <c r="K268" s="1"/>
      <c r="L268" s="1"/>
      <c r="M268" s="1"/>
      <c r="N268" s="1"/>
    </row>
    <row r="269" spans="2:14">
      <c r="B269" s="1"/>
      <c r="C269" s="1"/>
      <c r="D269" s="1"/>
      <c r="E269" s="1"/>
      <c r="F269" s="1"/>
      <c r="G269" s="1"/>
      <c r="H269" s="1"/>
      <c r="I269" s="1"/>
      <c r="J269" s="1"/>
      <c r="K269" s="1"/>
      <c r="L269" s="1"/>
      <c r="M269" s="1"/>
      <c r="N269" s="1"/>
    </row>
    <row r="270" spans="2:14">
      <c r="B270" s="1"/>
      <c r="C270" s="1"/>
      <c r="D270" s="1"/>
      <c r="E270" s="1"/>
      <c r="F270" s="1"/>
      <c r="G270" s="1"/>
      <c r="H270" s="1"/>
      <c r="I270" s="1"/>
      <c r="J270" s="1"/>
      <c r="K270" s="1"/>
      <c r="L270" s="1"/>
      <c r="M270" s="1"/>
      <c r="N270" s="1"/>
    </row>
    <row r="271" spans="2:14">
      <c r="B271" s="1"/>
      <c r="C271" s="1"/>
      <c r="D271" s="1"/>
      <c r="E271" s="1"/>
      <c r="F271" s="1"/>
      <c r="G271" s="1"/>
      <c r="H271" s="1"/>
      <c r="I271" s="1"/>
      <c r="J271" s="1"/>
      <c r="K271" s="1"/>
      <c r="L271" s="1"/>
      <c r="M271" s="1"/>
      <c r="N271" s="1"/>
    </row>
    <row r="272" spans="2:14">
      <c r="B272" s="1"/>
      <c r="C272" s="1"/>
      <c r="D272" s="1"/>
      <c r="E272" s="1"/>
      <c r="F272" s="1"/>
      <c r="G272" s="1"/>
      <c r="H272" s="1"/>
      <c r="I272" s="1"/>
      <c r="J272" s="1"/>
      <c r="K272" s="1"/>
      <c r="L272" s="1"/>
      <c r="M272" s="1"/>
      <c r="N272" s="1"/>
    </row>
    <row r="273" spans="2:14">
      <c r="B273" s="1"/>
      <c r="C273" s="1"/>
      <c r="D273" s="1"/>
      <c r="E273" s="1"/>
      <c r="F273" s="1"/>
      <c r="G273" s="1"/>
      <c r="H273" s="1"/>
      <c r="I273" s="1"/>
      <c r="J273" s="1"/>
      <c r="K273" s="1"/>
      <c r="L273" s="1"/>
      <c r="M273" s="1"/>
      <c r="N273" s="1"/>
    </row>
    <row r="274" spans="2:14">
      <c r="B274" s="1"/>
      <c r="C274" s="1"/>
      <c r="D274" s="1"/>
      <c r="E274" s="1"/>
      <c r="F274" s="1"/>
      <c r="G274" s="1"/>
      <c r="H274" s="1"/>
      <c r="I274" s="1"/>
      <c r="J274" s="1"/>
      <c r="K274" s="1"/>
      <c r="L274" s="1"/>
      <c r="M274" s="1"/>
      <c r="N274" s="1"/>
    </row>
    <row r="275" spans="2:14">
      <c r="B275" s="1"/>
      <c r="C275" s="1"/>
      <c r="D275" s="1"/>
      <c r="E275" s="1"/>
      <c r="F275" s="1"/>
      <c r="G275" s="1"/>
      <c r="H275" s="1"/>
      <c r="I275" s="1"/>
      <c r="J275" s="1"/>
      <c r="K275" s="1"/>
      <c r="L275" s="1"/>
      <c r="M275" s="1"/>
      <c r="N275" s="1"/>
    </row>
    <row r="276" spans="2:14">
      <c r="B276" s="1"/>
      <c r="C276" s="1"/>
      <c r="D276" s="1"/>
      <c r="E276" s="1"/>
      <c r="F276" s="1"/>
      <c r="G276" s="1"/>
      <c r="H276" s="1"/>
      <c r="I276" s="1"/>
      <c r="J276" s="1"/>
      <c r="K276" s="1"/>
      <c r="L276" s="1"/>
      <c r="M276" s="1"/>
      <c r="N276" s="1"/>
    </row>
    <row r="277" spans="2:14">
      <c r="B277" s="1"/>
      <c r="C277" s="1"/>
      <c r="D277" s="1"/>
      <c r="E277" s="1"/>
      <c r="F277" s="1"/>
      <c r="G277" s="1"/>
      <c r="H277" s="1"/>
      <c r="I277" s="1"/>
      <c r="J277" s="1"/>
      <c r="K277" s="1"/>
      <c r="L277" s="1"/>
      <c r="M277" s="1"/>
      <c r="N277" s="1"/>
    </row>
    <row r="278" spans="2:14">
      <c r="B278" s="1"/>
      <c r="C278" s="1"/>
      <c r="D278" s="1"/>
      <c r="E278" s="1"/>
      <c r="F278" s="1"/>
      <c r="G278" s="1"/>
      <c r="H278" s="1"/>
      <c r="I278" s="1"/>
      <c r="J278" s="1"/>
      <c r="K278" s="1"/>
      <c r="L278" s="1"/>
      <c r="M278" s="1"/>
      <c r="N278" s="1"/>
    </row>
    <row r="279" spans="2:14">
      <c r="B279" s="1"/>
      <c r="C279" s="1"/>
      <c r="D279" s="1"/>
      <c r="E279" s="1"/>
      <c r="F279" s="1"/>
      <c r="G279" s="1"/>
      <c r="H279" s="1"/>
      <c r="I279" s="1"/>
      <c r="J279" s="1"/>
      <c r="K279" s="1"/>
      <c r="L279" s="1"/>
      <c r="M279" s="1"/>
      <c r="N279" s="1"/>
    </row>
    <row r="280" spans="2:14">
      <c r="B280" s="1"/>
      <c r="C280" s="1"/>
      <c r="D280" s="1"/>
      <c r="E280" s="1"/>
      <c r="F280" s="1"/>
      <c r="G280" s="1"/>
      <c r="H280" s="1"/>
      <c r="I280" s="1"/>
      <c r="J280" s="1"/>
      <c r="K280" s="1"/>
      <c r="L280" s="1"/>
      <c r="M280" s="1"/>
      <c r="N280" s="1"/>
    </row>
    <row r="281" spans="2:14">
      <c r="B281" s="1"/>
      <c r="C281" s="1"/>
      <c r="D281" s="1"/>
      <c r="E281" s="1"/>
      <c r="F281" s="1"/>
      <c r="G281" s="1"/>
      <c r="H281" s="1"/>
      <c r="I281" s="1"/>
      <c r="J281" s="1"/>
      <c r="K281" s="1"/>
      <c r="L281" s="1"/>
      <c r="M281" s="1"/>
      <c r="N281" s="1"/>
    </row>
    <row r="282" spans="2:14">
      <c r="B282" s="1"/>
      <c r="C282" s="1"/>
      <c r="D282" s="1"/>
      <c r="E282" s="1"/>
      <c r="F282" s="1"/>
      <c r="G282" s="1"/>
      <c r="H282" s="1"/>
      <c r="I282" s="1"/>
      <c r="J282" s="1"/>
      <c r="K282" s="1"/>
      <c r="L282" s="1"/>
      <c r="M282" s="1"/>
      <c r="N282" s="1"/>
    </row>
    <row r="283" spans="2:14">
      <c r="B283" s="1"/>
      <c r="C283" s="1"/>
      <c r="D283" s="1"/>
      <c r="E283" s="1"/>
      <c r="F283" s="1"/>
      <c r="G283" s="1"/>
      <c r="H283" s="1"/>
      <c r="I283" s="1"/>
      <c r="J283" s="1"/>
      <c r="K283" s="1"/>
      <c r="L283" s="1"/>
      <c r="M283" s="1"/>
      <c r="N283" s="1"/>
    </row>
    <row r="284" spans="2:14">
      <c r="B284" s="1"/>
      <c r="C284" s="1"/>
      <c r="D284" s="1"/>
      <c r="E284" s="1"/>
      <c r="F284" s="1"/>
      <c r="G284" s="1"/>
      <c r="H284" s="1"/>
      <c r="I284" s="1"/>
      <c r="J284" s="1"/>
      <c r="K284" s="1"/>
      <c r="L284" s="1"/>
      <c r="M284" s="1"/>
      <c r="N284" s="1"/>
    </row>
    <row r="285" spans="2:14">
      <c r="B285" s="1"/>
      <c r="C285" s="1"/>
      <c r="D285" s="1"/>
      <c r="E285" s="1"/>
      <c r="F285" s="1"/>
      <c r="G285" s="1"/>
      <c r="H285" s="1"/>
      <c r="I285" s="1"/>
      <c r="J285" s="1"/>
      <c r="K285" s="1"/>
      <c r="L285" s="1"/>
      <c r="M285" s="1"/>
      <c r="N285" s="1"/>
    </row>
    <row r="286" spans="2:14">
      <c r="B286" s="1"/>
      <c r="C286" s="1"/>
      <c r="D286" s="1"/>
      <c r="E286" s="1"/>
      <c r="F286" s="1"/>
      <c r="G286" s="1"/>
      <c r="H286" s="1"/>
      <c r="I286" s="1"/>
      <c r="J286" s="1"/>
      <c r="K286" s="1"/>
      <c r="L286" s="1"/>
      <c r="M286" s="1"/>
      <c r="N286" s="1"/>
    </row>
    <row r="287" spans="2:14">
      <c r="B287" s="1"/>
      <c r="C287" s="1"/>
      <c r="D287" s="1"/>
      <c r="E287" s="1"/>
      <c r="F287" s="1"/>
      <c r="G287" s="1"/>
      <c r="H287" s="1"/>
      <c r="I287" s="1"/>
      <c r="J287" s="1"/>
      <c r="K287" s="1"/>
      <c r="L287" s="1"/>
      <c r="M287" s="1"/>
      <c r="N287" s="1"/>
    </row>
    <row r="288" spans="2:14">
      <c r="B288" s="1"/>
      <c r="C288" s="1"/>
      <c r="D288" s="1"/>
      <c r="E288" s="1"/>
      <c r="F288" s="1"/>
      <c r="G288" s="1"/>
      <c r="H288" s="1"/>
      <c r="I288" s="1"/>
      <c r="J288" s="1"/>
      <c r="K288" s="1"/>
      <c r="L288" s="1"/>
      <c r="M288" s="1"/>
      <c r="N288" s="1"/>
    </row>
    <row r="289" spans="2:14">
      <c r="B289" s="1"/>
      <c r="C289" s="1"/>
      <c r="D289" s="1"/>
      <c r="E289" s="1"/>
      <c r="F289" s="1"/>
      <c r="G289" s="1"/>
      <c r="H289" s="1"/>
      <c r="I289" s="1"/>
      <c r="J289" s="1"/>
      <c r="K289" s="1"/>
      <c r="L289" s="1"/>
      <c r="M289" s="1"/>
      <c r="N289" s="1"/>
    </row>
    <row r="290" spans="2:14">
      <c r="B290" s="1"/>
      <c r="C290" s="1"/>
      <c r="D290" s="1"/>
      <c r="E290" s="1"/>
      <c r="F290" s="1"/>
      <c r="G290" s="1"/>
      <c r="H290" s="1"/>
      <c r="I290" s="1"/>
      <c r="J290" s="1"/>
      <c r="K290" s="1"/>
      <c r="L290" s="1"/>
      <c r="M290" s="1"/>
      <c r="N290" s="1"/>
    </row>
    <row r="291" spans="2:14">
      <c r="B291" s="1"/>
      <c r="C291" s="1"/>
      <c r="D291" s="1"/>
      <c r="E291" s="1"/>
      <c r="F291" s="1"/>
      <c r="G291" s="1"/>
      <c r="H291" s="1"/>
      <c r="I291" s="1"/>
      <c r="J291" s="1"/>
      <c r="K291" s="1"/>
      <c r="L291" s="1"/>
      <c r="M291" s="1"/>
      <c r="N291" s="1"/>
    </row>
    <row r="292" spans="2:14">
      <c r="B292" s="1"/>
      <c r="C292" s="1"/>
      <c r="D292" s="1"/>
      <c r="E292" s="1"/>
      <c r="F292" s="1"/>
      <c r="G292" s="1"/>
      <c r="H292" s="1"/>
      <c r="I292" s="1"/>
      <c r="J292" s="1"/>
      <c r="K292" s="1"/>
      <c r="L292" s="1"/>
      <c r="M292" s="1"/>
      <c r="N292" s="1"/>
    </row>
    <row r="293" spans="2:14">
      <c r="B293" s="1"/>
      <c r="C293" s="1"/>
      <c r="D293" s="1"/>
      <c r="E293" s="1"/>
      <c r="F293" s="1"/>
      <c r="G293" s="1"/>
      <c r="H293" s="1"/>
      <c r="I293" s="1"/>
      <c r="J293" s="1"/>
      <c r="K293" s="1"/>
      <c r="L293" s="1"/>
      <c r="M293" s="1"/>
      <c r="N293" s="1"/>
    </row>
    <row r="294" spans="2:14">
      <c r="B294" s="1"/>
      <c r="C294" s="1"/>
      <c r="D294" s="1"/>
      <c r="E294" s="1"/>
      <c r="F294" s="1"/>
      <c r="G294" s="1"/>
      <c r="H294" s="1"/>
      <c r="I294" s="1"/>
      <c r="J294" s="1"/>
      <c r="K294" s="1"/>
      <c r="L294" s="1"/>
      <c r="M294" s="1"/>
      <c r="N294" s="1"/>
    </row>
    <row r="295" spans="2:14">
      <c r="B295" s="1"/>
      <c r="C295" s="1"/>
      <c r="D295" s="1"/>
      <c r="E295" s="1"/>
      <c r="F295" s="1"/>
      <c r="G295" s="1"/>
      <c r="H295" s="1"/>
      <c r="I295" s="1"/>
      <c r="J295" s="1"/>
      <c r="K295" s="1"/>
      <c r="L295" s="1"/>
      <c r="M295" s="1"/>
      <c r="N295" s="1"/>
    </row>
    <row r="296" spans="2:14">
      <c r="B296" s="1"/>
      <c r="C296" s="1"/>
      <c r="D296" s="1"/>
      <c r="E296" s="1"/>
      <c r="F296" s="1"/>
      <c r="G296" s="1"/>
      <c r="H296" s="1"/>
      <c r="I296" s="1"/>
      <c r="J296" s="1"/>
      <c r="K296" s="1"/>
      <c r="L296" s="1"/>
      <c r="M296" s="1"/>
      <c r="N296" s="1"/>
    </row>
    <row r="297" spans="2:14">
      <c r="B297" s="1"/>
      <c r="C297" s="1"/>
      <c r="D297" s="1"/>
      <c r="E297" s="1"/>
      <c r="F297" s="1"/>
      <c r="G297" s="1"/>
      <c r="H297" s="1"/>
      <c r="I297" s="1"/>
      <c r="J297" s="1"/>
      <c r="K297" s="1"/>
      <c r="L297" s="1"/>
      <c r="M297" s="1"/>
      <c r="N297" s="1"/>
    </row>
    <row r="298" spans="2:14">
      <c r="B298" s="1"/>
      <c r="C298" s="1"/>
      <c r="D298" s="1"/>
      <c r="E298" s="1"/>
      <c r="F298" s="1"/>
      <c r="G298" s="1"/>
      <c r="H298" s="1"/>
      <c r="I298" s="1"/>
      <c r="J298" s="1"/>
      <c r="K298" s="1"/>
      <c r="L298" s="1"/>
      <c r="M298" s="1"/>
      <c r="N298" s="1"/>
    </row>
    <row r="299" spans="2:14">
      <c r="B299" s="1"/>
      <c r="C299" s="1"/>
      <c r="D299" s="1"/>
      <c r="E299" s="1"/>
      <c r="F299" s="1"/>
      <c r="G299" s="1"/>
      <c r="H299" s="1"/>
      <c r="I299" s="1"/>
      <c r="J299" s="1"/>
      <c r="K299" s="1"/>
      <c r="L299" s="1"/>
      <c r="M299" s="1"/>
      <c r="N299" s="1"/>
    </row>
    <row r="300" spans="2:14">
      <c r="B300" s="1"/>
      <c r="C300" s="1"/>
      <c r="D300" s="1"/>
      <c r="E300" s="1"/>
      <c r="F300" s="1"/>
      <c r="G300" s="1"/>
      <c r="H300" s="1"/>
      <c r="I300" s="1"/>
      <c r="J300" s="1"/>
      <c r="K300" s="1"/>
      <c r="L300" s="1"/>
      <c r="M300" s="1"/>
      <c r="N300" s="1"/>
    </row>
    <row r="301" spans="2:14">
      <c r="B301" s="1"/>
      <c r="C301" s="1"/>
      <c r="D301" s="1"/>
      <c r="E301" s="1"/>
      <c r="F301" s="1"/>
      <c r="G301" s="1"/>
      <c r="H301" s="1"/>
      <c r="I301" s="1"/>
      <c r="J301" s="1"/>
      <c r="K301" s="1"/>
      <c r="L301" s="1"/>
      <c r="M301" s="1"/>
      <c r="N301" s="1"/>
    </row>
    <row r="302" spans="2:14">
      <c r="B302" s="1"/>
      <c r="C302" s="1"/>
      <c r="D302" s="1"/>
      <c r="E302" s="1"/>
      <c r="F302" s="1"/>
      <c r="G302" s="1"/>
      <c r="H302" s="1"/>
      <c r="I302" s="1"/>
      <c r="J302" s="1"/>
      <c r="K302" s="1"/>
      <c r="L302" s="1"/>
      <c r="M302" s="1"/>
      <c r="N302" s="1"/>
    </row>
    <row r="303" spans="2:14">
      <c r="B303" s="1"/>
      <c r="C303" s="1"/>
      <c r="D303" s="1"/>
      <c r="E303" s="1"/>
      <c r="F303" s="1"/>
      <c r="G303" s="1"/>
      <c r="H303" s="1"/>
      <c r="I303" s="1"/>
      <c r="J303" s="1"/>
      <c r="K303" s="1"/>
      <c r="L303" s="1"/>
      <c r="M303" s="1"/>
      <c r="N303" s="1"/>
    </row>
    <row r="304" spans="2:14">
      <c r="B304" s="1"/>
      <c r="C304" s="1"/>
      <c r="D304" s="1"/>
      <c r="E304" s="1"/>
      <c r="F304" s="1"/>
      <c r="G304" s="1"/>
      <c r="H304" s="1"/>
      <c r="I304" s="1"/>
      <c r="J304" s="1"/>
      <c r="K304" s="1"/>
      <c r="L304" s="1"/>
      <c r="M304" s="1"/>
      <c r="N304" s="1"/>
    </row>
    <row r="305" spans="2:14">
      <c r="B305" s="1"/>
      <c r="C305" s="1"/>
      <c r="D305" s="1"/>
      <c r="E305" s="1"/>
      <c r="F305" s="1"/>
      <c r="G305" s="1"/>
      <c r="H305" s="1"/>
      <c r="I305" s="1"/>
      <c r="J305" s="1"/>
      <c r="K305" s="1"/>
      <c r="L305" s="1"/>
      <c r="M305" s="1"/>
      <c r="N305" s="1"/>
    </row>
    <row r="306" spans="2:14">
      <c r="B306" s="1"/>
      <c r="C306" s="1"/>
      <c r="D306" s="1"/>
      <c r="E306" s="1"/>
      <c r="F306" s="1"/>
      <c r="G306" s="1"/>
      <c r="H306" s="1"/>
      <c r="I306" s="1"/>
      <c r="J306" s="1"/>
      <c r="K306" s="1"/>
      <c r="L306" s="1"/>
      <c r="M306" s="1"/>
      <c r="N306" s="1"/>
    </row>
    <row r="307" spans="2:14">
      <c r="B307" s="1"/>
      <c r="C307" s="1"/>
      <c r="D307" s="1"/>
      <c r="E307" s="1"/>
      <c r="F307" s="1"/>
      <c r="G307" s="1"/>
      <c r="H307" s="1"/>
      <c r="I307" s="1"/>
      <c r="J307" s="1"/>
      <c r="K307" s="1"/>
      <c r="L307" s="1"/>
      <c r="M307" s="1"/>
      <c r="N307" s="1"/>
    </row>
    <row r="308" spans="2:14">
      <c r="B308" s="1"/>
      <c r="C308" s="1"/>
      <c r="D308" s="1"/>
      <c r="E308" s="1"/>
      <c r="F308" s="1"/>
      <c r="G308" s="1"/>
      <c r="H308" s="1"/>
      <c r="I308" s="1"/>
      <c r="J308" s="1"/>
      <c r="K308" s="1"/>
      <c r="L308" s="1"/>
      <c r="M308" s="1"/>
      <c r="N308" s="1"/>
    </row>
    <row r="309" spans="2:14">
      <c r="B309" s="1"/>
      <c r="C309" s="1"/>
      <c r="D309" s="1"/>
      <c r="E309" s="1"/>
      <c r="F309" s="1"/>
      <c r="G309" s="1"/>
      <c r="H309" s="1"/>
      <c r="I309" s="1"/>
      <c r="J309" s="1"/>
      <c r="K309" s="1"/>
      <c r="L309" s="1"/>
      <c r="M309" s="1"/>
      <c r="N309" s="1"/>
    </row>
    <row r="310" spans="2:14">
      <c r="B310" s="1"/>
      <c r="C310" s="1"/>
      <c r="D310" s="1"/>
      <c r="E310" s="1"/>
      <c r="F310" s="1"/>
      <c r="G310" s="1"/>
      <c r="H310" s="1"/>
      <c r="I310" s="1"/>
      <c r="J310" s="1"/>
      <c r="K310" s="1"/>
      <c r="L310" s="1"/>
      <c r="M310" s="1"/>
      <c r="N310" s="1"/>
    </row>
    <row r="311" spans="2:14">
      <c r="B311" s="1"/>
      <c r="C311" s="1"/>
      <c r="D311" s="1"/>
      <c r="E311" s="1"/>
      <c r="F311" s="1"/>
      <c r="G311" s="1"/>
      <c r="H311" s="1"/>
      <c r="I311" s="1"/>
      <c r="J311" s="1"/>
      <c r="K311" s="1"/>
      <c r="L311" s="1"/>
      <c r="M311" s="1"/>
      <c r="N311" s="1"/>
    </row>
    <row r="312" spans="2:14">
      <c r="B312" s="1"/>
      <c r="C312" s="1"/>
      <c r="D312" s="1"/>
      <c r="E312" s="1"/>
      <c r="F312" s="1"/>
      <c r="G312" s="1"/>
      <c r="H312" s="1"/>
      <c r="I312" s="1"/>
      <c r="J312" s="1"/>
      <c r="K312" s="1"/>
      <c r="L312" s="1"/>
      <c r="M312" s="1"/>
      <c r="N312" s="1"/>
    </row>
    <row r="313" spans="2:14">
      <c r="B313" s="1"/>
      <c r="C313" s="1"/>
      <c r="D313" s="1"/>
      <c r="E313" s="1"/>
      <c r="F313" s="1"/>
      <c r="G313" s="1"/>
      <c r="H313" s="1"/>
      <c r="I313" s="1"/>
      <c r="J313" s="1"/>
      <c r="K313" s="1"/>
      <c r="L313" s="1"/>
      <c r="M313" s="1"/>
      <c r="N313" s="1"/>
    </row>
    <row r="314" spans="2:14">
      <c r="B314" s="1"/>
      <c r="C314" s="1"/>
      <c r="D314" s="1"/>
      <c r="E314" s="1"/>
      <c r="F314" s="1"/>
      <c r="G314" s="1"/>
      <c r="H314" s="1"/>
      <c r="I314" s="1"/>
      <c r="J314" s="1"/>
      <c r="K314" s="1"/>
      <c r="L314" s="1"/>
      <c r="M314" s="1"/>
      <c r="N314" s="1"/>
    </row>
    <row r="315" spans="2:14">
      <c r="B315" s="1"/>
      <c r="C315" s="1"/>
      <c r="D315" s="1"/>
      <c r="E315" s="1"/>
      <c r="F315" s="1"/>
      <c r="G315" s="1"/>
      <c r="H315" s="1"/>
      <c r="I315" s="1"/>
      <c r="J315" s="1"/>
      <c r="K315" s="1"/>
      <c r="L315" s="1"/>
      <c r="M315" s="1"/>
      <c r="N315" s="1"/>
    </row>
    <row r="316" spans="2:14">
      <c r="B316" s="1"/>
      <c r="C316" s="1"/>
      <c r="D316" s="1"/>
      <c r="E316" s="1"/>
      <c r="F316" s="1"/>
      <c r="G316" s="1"/>
      <c r="H316" s="1"/>
      <c r="I316" s="1"/>
      <c r="J316" s="1"/>
      <c r="K316" s="1"/>
      <c r="L316" s="1"/>
      <c r="M316" s="1"/>
      <c r="N316" s="1"/>
    </row>
    <row r="317" spans="2:14">
      <c r="B317" s="1"/>
      <c r="C317" s="1"/>
      <c r="D317" s="1"/>
      <c r="E317" s="1"/>
      <c r="F317" s="1"/>
      <c r="G317" s="1"/>
      <c r="H317" s="1"/>
      <c r="I317" s="1"/>
      <c r="J317" s="1"/>
      <c r="K317" s="1"/>
      <c r="L317" s="1"/>
      <c r="M317" s="1"/>
      <c r="N317" s="1"/>
    </row>
    <row r="318" spans="2:14">
      <c r="B318" s="1"/>
      <c r="C318" s="1"/>
      <c r="D318" s="1"/>
      <c r="E318" s="1"/>
      <c r="F318" s="1"/>
      <c r="G318" s="1"/>
      <c r="H318" s="1"/>
      <c r="I318" s="1"/>
      <c r="J318" s="1"/>
      <c r="K318" s="1"/>
      <c r="L318" s="1"/>
      <c r="M318" s="1"/>
      <c r="N318" s="1"/>
    </row>
    <row r="319" spans="2:14">
      <c r="B319" s="1"/>
      <c r="C319" s="1"/>
      <c r="D319" s="1"/>
      <c r="E319" s="1"/>
      <c r="F319" s="1"/>
      <c r="G319" s="1"/>
      <c r="H319" s="1"/>
      <c r="I319" s="1"/>
      <c r="J319" s="1"/>
      <c r="K319" s="1"/>
      <c r="L319" s="1"/>
      <c r="M319" s="1"/>
      <c r="N319" s="1"/>
    </row>
    <row r="320" spans="2:14">
      <c r="B320" s="1"/>
      <c r="C320" s="1"/>
      <c r="D320" s="1"/>
      <c r="E320" s="1"/>
      <c r="F320" s="1"/>
      <c r="G320" s="1"/>
      <c r="H320" s="1"/>
      <c r="I320" s="1"/>
      <c r="J320" s="1"/>
      <c r="K320" s="1"/>
      <c r="L320" s="1"/>
      <c r="M320" s="1"/>
      <c r="N320" s="1"/>
    </row>
    <row r="321" spans="2:14">
      <c r="B321" s="1"/>
      <c r="C321" s="1"/>
      <c r="D321" s="1"/>
      <c r="E321" s="1"/>
      <c r="F321" s="1"/>
      <c r="G321" s="1"/>
      <c r="H321" s="1"/>
      <c r="I321" s="1"/>
      <c r="J321" s="1"/>
      <c r="K321" s="1"/>
      <c r="L321" s="1"/>
      <c r="M321" s="1"/>
      <c r="N321" s="1"/>
    </row>
    <row r="322" spans="2:14">
      <c r="B322" s="1"/>
      <c r="C322" s="1"/>
      <c r="D322" s="1"/>
      <c r="E322" s="1"/>
      <c r="F322" s="1"/>
      <c r="G322" s="1"/>
      <c r="H322" s="1"/>
      <c r="I322" s="1"/>
      <c r="J322" s="1"/>
      <c r="K322" s="1"/>
      <c r="L322" s="1"/>
      <c r="M322" s="1"/>
      <c r="N322" s="1"/>
    </row>
    <row r="323" spans="2:14">
      <c r="B323" s="1"/>
      <c r="C323" s="1"/>
      <c r="D323" s="1"/>
      <c r="E323" s="1"/>
      <c r="F323" s="1"/>
      <c r="G323" s="1"/>
      <c r="H323" s="1"/>
      <c r="I323" s="1"/>
      <c r="J323" s="1"/>
      <c r="K323" s="1"/>
      <c r="L323" s="1"/>
      <c r="M323" s="1"/>
      <c r="N323" s="1"/>
    </row>
    <row r="324" spans="2:14">
      <c r="B324" s="1"/>
      <c r="C324" s="1"/>
      <c r="D324" s="1"/>
      <c r="E324" s="1"/>
      <c r="F324" s="1"/>
      <c r="G324" s="1"/>
      <c r="H324" s="1"/>
      <c r="I324" s="1"/>
      <c r="J324" s="1"/>
      <c r="K324" s="1"/>
      <c r="L324" s="1"/>
      <c r="M324" s="1"/>
      <c r="N324" s="1"/>
    </row>
    <row r="325" spans="2:14">
      <c r="B325" s="1"/>
      <c r="C325" s="1"/>
      <c r="D325" s="1"/>
      <c r="E325" s="1"/>
      <c r="F325" s="1"/>
      <c r="G325" s="1"/>
      <c r="H325" s="1"/>
      <c r="I325" s="1"/>
      <c r="J325" s="1"/>
      <c r="K325" s="1"/>
      <c r="L325" s="1"/>
      <c r="M325" s="1"/>
      <c r="N325" s="1"/>
    </row>
    <row r="326" spans="2:14">
      <c r="B326" s="1"/>
      <c r="C326" s="1"/>
      <c r="D326" s="1"/>
      <c r="E326" s="1"/>
      <c r="F326" s="1"/>
      <c r="G326" s="1"/>
      <c r="H326" s="1"/>
      <c r="I326" s="1"/>
      <c r="J326" s="1"/>
      <c r="K326" s="1"/>
      <c r="L326" s="1"/>
      <c r="M326" s="1"/>
      <c r="N326" s="1"/>
    </row>
    <row r="327" spans="2:14">
      <c r="B327" s="1"/>
      <c r="C327" s="1"/>
      <c r="D327" s="1"/>
      <c r="E327" s="1"/>
      <c r="F327" s="1"/>
      <c r="G327" s="1"/>
      <c r="H327" s="1"/>
      <c r="I327" s="1"/>
      <c r="J327" s="1"/>
      <c r="K327" s="1"/>
      <c r="L327" s="1"/>
      <c r="M327" s="1"/>
      <c r="N327" s="1"/>
    </row>
    <row r="328" spans="2:14">
      <c r="B328" s="1"/>
      <c r="C328" s="1"/>
      <c r="D328" s="1"/>
      <c r="E328" s="1"/>
      <c r="F328" s="1"/>
      <c r="G328" s="1"/>
      <c r="H328" s="1"/>
      <c r="I328" s="1"/>
      <c r="J328" s="1"/>
      <c r="K328" s="1"/>
      <c r="L328" s="1"/>
      <c r="M328" s="1"/>
      <c r="N328" s="1"/>
    </row>
    <row r="329" spans="2:14">
      <c r="B329" s="1"/>
      <c r="C329" s="1"/>
      <c r="D329" s="1"/>
      <c r="E329" s="1"/>
      <c r="F329" s="1"/>
      <c r="G329" s="1"/>
      <c r="H329" s="1"/>
      <c r="I329" s="1"/>
      <c r="J329" s="1"/>
      <c r="K329" s="1"/>
      <c r="L329" s="1"/>
      <c r="M329" s="1"/>
      <c r="N329" s="1"/>
    </row>
    <row r="330" spans="2:14">
      <c r="B330" s="1"/>
      <c r="C330" s="1"/>
      <c r="D330" s="1"/>
      <c r="E330" s="1"/>
      <c r="F330" s="1"/>
      <c r="G330" s="1"/>
      <c r="H330" s="1"/>
      <c r="I330" s="1"/>
      <c r="J330" s="1"/>
      <c r="K330" s="1"/>
      <c r="L330" s="1"/>
      <c r="M330" s="1"/>
      <c r="N330" s="1"/>
    </row>
    <row r="331" spans="2:14">
      <c r="B331" s="1"/>
      <c r="C331" s="1"/>
      <c r="D331" s="1"/>
      <c r="E331" s="1"/>
      <c r="F331" s="1"/>
      <c r="G331" s="1"/>
      <c r="H331" s="1"/>
      <c r="I331" s="1"/>
      <c r="J331" s="1"/>
      <c r="K331" s="1"/>
      <c r="L331" s="1"/>
      <c r="M331" s="1"/>
      <c r="N331" s="1"/>
    </row>
    <row r="332" spans="2:14">
      <c r="B332" s="1"/>
      <c r="C332" s="1"/>
      <c r="D332" s="1"/>
      <c r="E332" s="1"/>
      <c r="F332" s="1"/>
      <c r="G332" s="1"/>
      <c r="H332" s="1"/>
      <c r="I332" s="1"/>
      <c r="J332" s="1"/>
      <c r="K332" s="1"/>
      <c r="L332" s="1"/>
      <c r="M332" s="1"/>
      <c r="N332" s="1"/>
    </row>
    <row r="333" spans="2:14">
      <c r="B333" s="1"/>
      <c r="C333" s="1"/>
      <c r="D333" s="1"/>
      <c r="E333" s="1"/>
      <c r="F333" s="1"/>
      <c r="G333" s="1"/>
      <c r="H333" s="1"/>
      <c r="I333" s="1"/>
      <c r="J333" s="1"/>
      <c r="K333" s="1"/>
      <c r="L333" s="1"/>
      <c r="M333" s="1"/>
      <c r="N333" s="1"/>
    </row>
    <row r="334" spans="2:14">
      <c r="B334" s="1"/>
      <c r="C334" s="1"/>
      <c r="D334" s="1"/>
      <c r="E334" s="1"/>
      <c r="F334" s="1"/>
      <c r="G334" s="1"/>
      <c r="H334" s="1"/>
      <c r="I334" s="1"/>
      <c r="J334" s="1"/>
      <c r="K334" s="1"/>
      <c r="L334" s="1"/>
      <c r="M334" s="1"/>
      <c r="N334" s="1"/>
    </row>
    <row r="335" spans="2:14">
      <c r="B335" s="1"/>
      <c r="C335" s="1"/>
      <c r="D335" s="1"/>
      <c r="E335" s="1"/>
      <c r="F335" s="1"/>
      <c r="G335" s="1"/>
      <c r="H335" s="1"/>
      <c r="I335" s="1"/>
      <c r="J335" s="1"/>
      <c r="K335" s="1"/>
      <c r="L335" s="1"/>
      <c r="M335" s="1"/>
      <c r="N335" s="1"/>
    </row>
    <row r="336" spans="2:14">
      <c r="B336" s="1"/>
      <c r="C336" s="1"/>
      <c r="D336" s="1"/>
      <c r="E336" s="1"/>
      <c r="F336" s="1"/>
      <c r="G336" s="1"/>
      <c r="H336" s="1"/>
      <c r="I336" s="1"/>
      <c r="J336" s="1"/>
      <c r="K336" s="1"/>
      <c r="L336" s="1"/>
      <c r="M336" s="1"/>
      <c r="N336" s="1"/>
    </row>
    <row r="337" spans="2:14">
      <c r="B337" s="1"/>
      <c r="C337" s="1"/>
      <c r="D337" s="1"/>
      <c r="E337" s="1"/>
      <c r="F337" s="1"/>
      <c r="G337" s="1"/>
      <c r="H337" s="1"/>
      <c r="I337" s="1"/>
      <c r="J337" s="1"/>
      <c r="K337" s="1"/>
      <c r="L337" s="1"/>
      <c r="M337" s="1"/>
      <c r="N337" s="1"/>
    </row>
    <row r="338" spans="2:14">
      <c r="B338" s="1"/>
      <c r="C338" s="1"/>
      <c r="D338" s="1"/>
      <c r="E338" s="1"/>
      <c r="F338" s="1"/>
      <c r="G338" s="1"/>
      <c r="H338" s="1"/>
      <c r="I338" s="1"/>
      <c r="J338" s="1"/>
      <c r="K338" s="1"/>
      <c r="L338" s="1"/>
      <c r="M338" s="1"/>
      <c r="N338" s="1"/>
    </row>
    <row r="339" spans="2:14">
      <c r="B339" s="1"/>
      <c r="C339" s="1"/>
      <c r="D339" s="1"/>
      <c r="E339" s="1"/>
      <c r="F339" s="1"/>
      <c r="G339" s="1"/>
      <c r="H339" s="1"/>
      <c r="I339" s="1"/>
      <c r="J339" s="1"/>
      <c r="K339" s="1"/>
      <c r="L339" s="1"/>
      <c r="M339" s="1"/>
      <c r="N339" s="1"/>
    </row>
    <row r="340" spans="2:14">
      <c r="B340" s="1"/>
      <c r="C340" s="1"/>
      <c r="D340" s="1"/>
      <c r="E340" s="1"/>
      <c r="F340" s="1"/>
      <c r="G340" s="1"/>
      <c r="H340" s="1"/>
      <c r="I340" s="1"/>
      <c r="J340" s="1"/>
      <c r="K340" s="1"/>
      <c r="L340" s="1"/>
      <c r="M340" s="1"/>
      <c r="N340" s="1"/>
    </row>
    <row r="341" spans="2:14">
      <c r="B341" s="1"/>
      <c r="C341" s="1"/>
      <c r="D341" s="1"/>
      <c r="E341" s="1"/>
      <c r="F341" s="1"/>
      <c r="G341" s="1"/>
      <c r="H341" s="1"/>
      <c r="I341" s="1"/>
      <c r="J341" s="1"/>
      <c r="K341" s="1"/>
      <c r="L341" s="1"/>
      <c r="M341" s="1"/>
      <c r="N341" s="1"/>
    </row>
    <row r="342" spans="2:14">
      <c r="B342" s="1"/>
      <c r="C342" s="1"/>
      <c r="D342" s="1"/>
      <c r="E342" s="1"/>
      <c r="F342" s="1"/>
      <c r="G342" s="1"/>
      <c r="H342" s="1"/>
      <c r="I342" s="1"/>
      <c r="J342" s="1"/>
      <c r="K342" s="1"/>
      <c r="L342" s="1"/>
      <c r="M342" s="1"/>
      <c r="N342" s="1"/>
    </row>
    <row r="343" spans="2:14">
      <c r="B343" s="1"/>
      <c r="C343" s="1"/>
      <c r="D343" s="1"/>
      <c r="E343" s="1"/>
      <c r="F343" s="1"/>
      <c r="G343" s="1"/>
      <c r="H343" s="1"/>
      <c r="I343" s="1"/>
      <c r="J343" s="1"/>
      <c r="K343" s="1"/>
      <c r="L343" s="1"/>
      <c r="M343" s="1"/>
      <c r="N343" s="1"/>
    </row>
    <row r="344" spans="2:14">
      <c r="B344" s="1"/>
      <c r="C344" s="1"/>
      <c r="D344" s="1"/>
      <c r="E344" s="1"/>
      <c r="F344" s="1"/>
      <c r="G344" s="1"/>
      <c r="H344" s="1"/>
      <c r="I344" s="1"/>
      <c r="J344" s="1"/>
      <c r="K344" s="1"/>
      <c r="L344" s="1"/>
      <c r="M344" s="1"/>
      <c r="N344" s="1"/>
    </row>
    <row r="345" spans="2:14">
      <c r="B345" s="1"/>
      <c r="C345" s="1"/>
      <c r="D345" s="1"/>
      <c r="E345" s="1"/>
      <c r="F345" s="1"/>
      <c r="G345" s="1"/>
      <c r="H345" s="1"/>
      <c r="I345" s="1"/>
      <c r="J345" s="1"/>
      <c r="K345" s="1"/>
      <c r="L345" s="1"/>
      <c r="M345" s="1"/>
      <c r="N345" s="1"/>
    </row>
    <row r="346" spans="2:14">
      <c r="B346" s="1"/>
      <c r="C346" s="1"/>
      <c r="D346" s="1"/>
      <c r="E346" s="1"/>
      <c r="F346" s="1"/>
      <c r="G346" s="1"/>
      <c r="H346" s="1"/>
      <c r="I346" s="1"/>
      <c r="J346" s="1"/>
      <c r="K346" s="1"/>
      <c r="L346" s="1"/>
      <c r="M346" s="1"/>
      <c r="N346" s="1"/>
    </row>
    <row r="347" spans="2:14">
      <c r="B347" s="1"/>
      <c r="C347" s="1"/>
      <c r="D347" s="1"/>
      <c r="E347" s="1"/>
      <c r="F347" s="1"/>
      <c r="G347" s="1"/>
      <c r="H347" s="1"/>
      <c r="I347" s="1"/>
      <c r="J347" s="1"/>
      <c r="K347" s="1"/>
      <c r="L347" s="1"/>
      <c r="M347" s="1"/>
      <c r="N347" s="1"/>
    </row>
    <row r="348" spans="2:14">
      <c r="B348" s="1"/>
      <c r="C348" s="1"/>
      <c r="D348" s="1"/>
      <c r="E348" s="1"/>
      <c r="F348" s="1"/>
      <c r="G348" s="1"/>
      <c r="H348" s="1"/>
      <c r="I348" s="1"/>
      <c r="J348" s="1"/>
      <c r="K348" s="1"/>
      <c r="L348" s="1"/>
      <c r="M348" s="1"/>
      <c r="N348" s="1"/>
    </row>
    <row r="349" spans="2:14">
      <c r="B349" s="1"/>
      <c r="C349" s="1"/>
      <c r="D349" s="1"/>
      <c r="E349" s="1"/>
      <c r="F349" s="1"/>
      <c r="G349" s="1"/>
      <c r="H349" s="1"/>
      <c r="I349" s="1"/>
      <c r="J349" s="1"/>
      <c r="K349" s="1"/>
      <c r="L349" s="1"/>
      <c r="M349" s="1"/>
      <c r="N349" s="1"/>
    </row>
    <row r="350" spans="2:14">
      <c r="B350" s="1"/>
      <c r="C350" s="1"/>
      <c r="D350" s="1"/>
      <c r="E350" s="1"/>
      <c r="F350" s="1"/>
      <c r="G350" s="1"/>
      <c r="H350" s="1"/>
      <c r="I350" s="1"/>
      <c r="J350" s="1"/>
      <c r="K350" s="1"/>
      <c r="L350" s="1"/>
      <c r="M350" s="1"/>
      <c r="N350" s="1"/>
    </row>
    <row r="351" spans="2:14">
      <c r="B351" s="1"/>
      <c r="C351" s="1"/>
      <c r="D351" s="1"/>
      <c r="E351" s="1"/>
      <c r="F351" s="1"/>
      <c r="G351" s="1"/>
      <c r="H351" s="1"/>
      <c r="I351" s="1"/>
      <c r="J351" s="1"/>
      <c r="K351" s="1"/>
      <c r="L351" s="1"/>
      <c r="M351" s="1"/>
      <c r="N351" s="1"/>
    </row>
    <row r="352" spans="2:14">
      <c r="B352" s="1"/>
      <c r="C352" s="1"/>
      <c r="D352" s="1"/>
      <c r="E352" s="1"/>
      <c r="F352" s="1"/>
      <c r="G352" s="1"/>
      <c r="H352" s="1"/>
      <c r="I352" s="1"/>
      <c r="J352" s="1"/>
      <c r="K352" s="1"/>
      <c r="L352" s="1"/>
      <c r="M352" s="1"/>
      <c r="N352" s="1"/>
    </row>
    <row r="353" spans="2:14">
      <c r="B353" s="1"/>
      <c r="C353" s="1"/>
      <c r="D353" s="1"/>
      <c r="E353" s="1"/>
      <c r="F353" s="1"/>
      <c r="G353" s="1"/>
      <c r="H353" s="1"/>
      <c r="I353" s="1"/>
      <c r="J353" s="1"/>
      <c r="K353" s="1"/>
      <c r="L353" s="1"/>
      <c r="M353" s="1"/>
      <c r="N353" s="1"/>
    </row>
    <row r="354" spans="2:14">
      <c r="B354" s="1"/>
      <c r="C354" s="1"/>
      <c r="D354" s="1"/>
      <c r="E354" s="1"/>
      <c r="F354" s="1"/>
      <c r="G354" s="1"/>
      <c r="H354" s="1"/>
      <c r="I354" s="1"/>
      <c r="J354" s="1"/>
      <c r="K354" s="1"/>
      <c r="L354" s="1"/>
      <c r="M354" s="1"/>
      <c r="N354" s="1"/>
    </row>
    <row r="355" spans="2:14">
      <c r="B355" s="1"/>
      <c r="C355" s="1"/>
      <c r="D355" s="1"/>
      <c r="E355" s="1"/>
      <c r="F355" s="1"/>
      <c r="G355" s="1"/>
      <c r="H355" s="1"/>
      <c r="I355" s="1"/>
      <c r="J355" s="1"/>
      <c r="K355" s="1"/>
      <c r="L355" s="1"/>
      <c r="M355" s="1"/>
      <c r="N355" s="1"/>
    </row>
    <row r="356" spans="2:14">
      <c r="B356" s="1"/>
      <c r="C356" s="1"/>
      <c r="D356" s="1"/>
      <c r="E356" s="1"/>
      <c r="F356" s="1"/>
      <c r="G356" s="1"/>
      <c r="H356" s="1"/>
      <c r="I356" s="1"/>
      <c r="J356" s="1"/>
      <c r="K356" s="1"/>
      <c r="L356" s="1"/>
      <c r="M356" s="1"/>
      <c r="N356" s="1"/>
    </row>
    <row r="357" spans="2:14">
      <c r="B357" s="1"/>
      <c r="C357" s="1"/>
      <c r="D357" s="1"/>
      <c r="E357" s="1"/>
      <c r="F357" s="1"/>
      <c r="G357" s="1"/>
      <c r="H357" s="1"/>
      <c r="I357" s="1"/>
      <c r="J357" s="1"/>
      <c r="K357" s="1"/>
      <c r="L357" s="1"/>
      <c r="M357" s="1"/>
      <c r="N357" s="1"/>
    </row>
    <row r="358" spans="2:14">
      <c r="B358" s="1"/>
      <c r="C358" s="1"/>
      <c r="D358" s="1"/>
      <c r="E358" s="1"/>
      <c r="F358" s="1"/>
      <c r="G358" s="1"/>
      <c r="H358" s="1"/>
      <c r="I358" s="1"/>
      <c r="J358" s="1"/>
      <c r="K358" s="1"/>
      <c r="L358" s="1"/>
      <c r="M358" s="1"/>
      <c r="N358" s="1"/>
    </row>
    <row r="359" spans="2:14">
      <c r="B359" s="1"/>
      <c r="C359" s="1"/>
      <c r="D359" s="1"/>
      <c r="E359" s="1"/>
      <c r="F359" s="1"/>
      <c r="G359" s="1"/>
      <c r="H359" s="1"/>
      <c r="I359" s="1"/>
      <c r="J359" s="1"/>
      <c r="K359" s="1"/>
      <c r="L359" s="1"/>
      <c r="M359" s="1"/>
      <c r="N359" s="1"/>
    </row>
    <row r="360" spans="2:14">
      <c r="B360" s="1"/>
      <c r="C360" s="1"/>
      <c r="D360" s="1"/>
      <c r="E360" s="1"/>
      <c r="F360" s="1"/>
      <c r="G360" s="1"/>
      <c r="H360" s="1"/>
      <c r="I360" s="1"/>
      <c r="J360" s="1"/>
      <c r="K360" s="1"/>
      <c r="L360" s="1"/>
      <c r="M360" s="1"/>
      <c r="N360" s="1"/>
    </row>
    <row r="361" spans="2:14">
      <c r="B361" s="1"/>
      <c r="C361" s="1"/>
      <c r="D361" s="1"/>
      <c r="E361" s="1"/>
      <c r="F361" s="1"/>
      <c r="G361" s="1"/>
      <c r="H361" s="1"/>
      <c r="I361" s="1"/>
      <c r="J361" s="1"/>
      <c r="K361" s="1"/>
      <c r="L361" s="1"/>
      <c r="M361" s="1"/>
      <c r="N361" s="1"/>
    </row>
    <row r="362" spans="2:14">
      <c r="B362" s="1"/>
      <c r="C362" s="1"/>
      <c r="D362" s="1"/>
      <c r="E362" s="1"/>
      <c r="F362" s="1"/>
      <c r="G362" s="1"/>
      <c r="H362" s="1"/>
      <c r="I362" s="1"/>
      <c r="J362" s="1"/>
      <c r="K362" s="1"/>
      <c r="L362" s="1"/>
      <c r="M362" s="1"/>
      <c r="N362" s="1"/>
    </row>
    <row r="363" spans="2:14">
      <c r="B363" s="1"/>
      <c r="C363" s="1"/>
      <c r="D363" s="1"/>
      <c r="E363" s="1"/>
      <c r="F363" s="1"/>
      <c r="G363" s="1"/>
      <c r="H363" s="1"/>
      <c r="I363" s="1"/>
      <c r="J363" s="1"/>
      <c r="K363" s="1"/>
      <c r="L363" s="1"/>
      <c r="M363" s="1"/>
      <c r="N363" s="1"/>
    </row>
    <row r="364" spans="2:14">
      <c r="B364" s="1"/>
      <c r="C364" s="1"/>
      <c r="D364" s="1"/>
      <c r="E364" s="1"/>
      <c r="F364" s="1"/>
      <c r="G364" s="1"/>
      <c r="H364" s="1"/>
      <c r="I364" s="1"/>
      <c r="J364" s="1"/>
      <c r="K364" s="1"/>
      <c r="L364" s="1"/>
      <c r="M364" s="1"/>
      <c r="N364" s="1"/>
    </row>
    <row r="365" spans="2:14">
      <c r="B365" s="1"/>
      <c r="C365" s="1"/>
      <c r="D365" s="1"/>
      <c r="E365" s="1"/>
      <c r="F365" s="1"/>
      <c r="G365" s="1"/>
      <c r="H365" s="1"/>
      <c r="I365" s="1"/>
      <c r="J365" s="1"/>
      <c r="K365" s="1"/>
      <c r="L365" s="1"/>
      <c r="M365" s="1"/>
      <c r="N365" s="1"/>
    </row>
    <row r="366" spans="2:14">
      <c r="B366" s="1"/>
      <c r="C366" s="1"/>
      <c r="D366" s="1"/>
      <c r="E366" s="1"/>
      <c r="F366" s="1"/>
      <c r="G366" s="1"/>
      <c r="H366" s="1"/>
      <c r="I366" s="1"/>
      <c r="J366" s="1"/>
      <c r="K366" s="1"/>
      <c r="L366" s="1"/>
      <c r="M366" s="1"/>
      <c r="N366" s="1"/>
    </row>
    <row r="367" spans="2:14">
      <c r="B367" s="1"/>
      <c r="C367" s="1"/>
      <c r="D367" s="1"/>
      <c r="E367" s="1"/>
      <c r="F367" s="1"/>
      <c r="G367" s="1"/>
      <c r="H367" s="1"/>
      <c r="I367" s="1"/>
      <c r="J367" s="1"/>
      <c r="K367" s="1"/>
      <c r="L367" s="1"/>
      <c r="M367" s="1"/>
      <c r="N367" s="1"/>
    </row>
    <row r="368" spans="2:14">
      <c r="B368" s="1"/>
      <c r="C368" s="1"/>
      <c r="D368" s="1"/>
      <c r="E368" s="1"/>
      <c r="F368" s="1"/>
      <c r="G368" s="1"/>
      <c r="H368" s="1"/>
      <c r="I368" s="1"/>
      <c r="J368" s="1"/>
      <c r="K368" s="1"/>
      <c r="L368" s="1"/>
      <c r="M368" s="1"/>
      <c r="N368" s="1"/>
    </row>
    <row r="369" spans="2:14">
      <c r="B369" s="1"/>
      <c r="C369" s="1"/>
      <c r="D369" s="1"/>
      <c r="E369" s="1"/>
      <c r="F369" s="1"/>
      <c r="G369" s="1"/>
      <c r="H369" s="1"/>
      <c r="I369" s="1"/>
      <c r="J369" s="1"/>
      <c r="K369" s="1"/>
      <c r="L369" s="1"/>
      <c r="M369" s="1"/>
      <c r="N369" s="1"/>
    </row>
    <row r="370" spans="2:14">
      <c r="B370" s="1"/>
      <c r="C370" s="1"/>
      <c r="D370" s="1"/>
      <c r="E370" s="1"/>
      <c r="F370" s="1"/>
      <c r="G370" s="1"/>
      <c r="H370" s="1"/>
      <c r="I370" s="1"/>
      <c r="J370" s="1"/>
      <c r="K370" s="1"/>
      <c r="L370" s="1"/>
      <c r="M370" s="1"/>
      <c r="N370" s="1"/>
    </row>
    <row r="371" spans="2:14">
      <c r="B371" s="1"/>
      <c r="C371" s="1"/>
      <c r="D371" s="1"/>
      <c r="E371" s="1"/>
      <c r="F371" s="1"/>
      <c r="G371" s="1"/>
      <c r="H371" s="1"/>
      <c r="I371" s="1"/>
      <c r="J371" s="1"/>
      <c r="K371" s="1"/>
      <c r="L371" s="1"/>
      <c r="M371" s="1"/>
      <c r="N371" s="1"/>
    </row>
    <row r="372" spans="2:14">
      <c r="B372" s="1"/>
      <c r="C372" s="1"/>
      <c r="D372" s="1"/>
      <c r="E372" s="1"/>
      <c r="F372" s="1"/>
      <c r="G372" s="1"/>
      <c r="H372" s="1"/>
      <c r="I372" s="1"/>
      <c r="J372" s="1"/>
      <c r="K372" s="1"/>
      <c r="L372" s="1"/>
      <c r="M372" s="1"/>
      <c r="N372" s="1"/>
    </row>
    <row r="373" spans="2:14">
      <c r="B373" s="1"/>
      <c r="C373" s="1"/>
      <c r="D373" s="1"/>
      <c r="E373" s="1"/>
      <c r="F373" s="1"/>
      <c r="G373" s="1"/>
      <c r="H373" s="1"/>
      <c r="I373" s="1"/>
      <c r="J373" s="1"/>
      <c r="K373" s="1"/>
      <c r="L373" s="1"/>
      <c r="M373" s="1"/>
      <c r="N373" s="1"/>
    </row>
    <row r="374" spans="2:14">
      <c r="B374" s="1"/>
      <c r="C374" s="1"/>
      <c r="D374" s="1"/>
      <c r="E374" s="1"/>
      <c r="F374" s="1"/>
      <c r="G374" s="1"/>
      <c r="H374" s="1"/>
      <c r="I374" s="1"/>
      <c r="J374" s="1"/>
      <c r="K374" s="1"/>
      <c r="L374" s="1"/>
      <c r="M374" s="1"/>
      <c r="N374" s="1"/>
    </row>
    <row r="375" spans="2:14">
      <c r="B375" s="1"/>
      <c r="C375" s="1"/>
      <c r="D375" s="1"/>
      <c r="E375" s="1"/>
      <c r="F375" s="1"/>
      <c r="G375" s="1"/>
      <c r="H375" s="1"/>
      <c r="I375" s="1"/>
      <c r="J375" s="1"/>
      <c r="K375" s="1"/>
      <c r="L375" s="1"/>
      <c r="M375" s="1"/>
      <c r="N375" s="1"/>
    </row>
    <row r="376" spans="2:14">
      <c r="B376" s="1"/>
      <c r="C376" s="1"/>
      <c r="D376" s="1"/>
      <c r="E376" s="1"/>
      <c r="F376" s="1"/>
      <c r="G376" s="1"/>
      <c r="H376" s="1"/>
      <c r="I376" s="1"/>
      <c r="J376" s="1"/>
      <c r="K376" s="1"/>
      <c r="L376" s="1"/>
      <c r="M376" s="1"/>
      <c r="N376" s="1"/>
    </row>
    <row r="377" spans="2:14">
      <c r="B377" s="1"/>
      <c r="C377" s="1"/>
      <c r="D377" s="1"/>
      <c r="E377" s="1"/>
      <c r="F377" s="1"/>
      <c r="G377" s="1"/>
      <c r="H377" s="1"/>
      <c r="I377" s="1"/>
      <c r="J377" s="1"/>
      <c r="K377" s="1"/>
      <c r="L377" s="1"/>
      <c r="M377" s="1"/>
      <c r="N377" s="1"/>
    </row>
    <row r="378" spans="2:14">
      <c r="B378" s="1"/>
      <c r="C378" s="1"/>
      <c r="D378" s="1"/>
      <c r="E378" s="1"/>
      <c r="F378" s="1"/>
      <c r="G378" s="1"/>
      <c r="H378" s="1"/>
      <c r="I378" s="1"/>
      <c r="J378" s="1"/>
      <c r="K378" s="1"/>
      <c r="L378" s="1"/>
      <c r="M378" s="1"/>
      <c r="N378" s="1"/>
    </row>
    <row r="379" spans="2:14">
      <c r="B379" s="1"/>
      <c r="C379" s="1"/>
      <c r="D379" s="1"/>
      <c r="E379" s="1"/>
      <c r="F379" s="1"/>
      <c r="G379" s="1"/>
      <c r="H379" s="1"/>
      <c r="I379" s="1"/>
      <c r="J379" s="1"/>
      <c r="K379" s="1"/>
      <c r="L379" s="1"/>
      <c r="M379" s="1"/>
      <c r="N379" s="1"/>
    </row>
    <row r="380" spans="2:14">
      <c r="B380" s="1"/>
      <c r="C380" s="1"/>
      <c r="D380" s="1"/>
      <c r="E380" s="1"/>
      <c r="F380" s="1"/>
      <c r="G380" s="1"/>
      <c r="H380" s="1"/>
      <c r="I380" s="1"/>
      <c r="J380" s="1"/>
      <c r="K380" s="1"/>
      <c r="L380" s="1"/>
      <c r="M380" s="1"/>
      <c r="N380" s="1"/>
    </row>
    <row r="381" spans="2:14">
      <c r="B381" s="1"/>
      <c r="C381" s="1"/>
      <c r="D381" s="1"/>
      <c r="E381" s="1"/>
      <c r="F381" s="1"/>
      <c r="G381" s="1"/>
      <c r="H381" s="1"/>
      <c r="I381" s="1"/>
      <c r="J381" s="1"/>
      <c r="K381" s="1"/>
      <c r="L381" s="1"/>
      <c r="M381" s="1"/>
      <c r="N381" s="1"/>
    </row>
    <row r="382" spans="2:14">
      <c r="B382" s="1"/>
      <c r="C382" s="1"/>
      <c r="D382" s="1"/>
      <c r="E382" s="1"/>
      <c r="F382" s="1"/>
      <c r="G382" s="1"/>
      <c r="H382" s="1"/>
      <c r="I382" s="1"/>
      <c r="J382" s="1"/>
      <c r="K382" s="1"/>
      <c r="L382" s="1"/>
      <c r="M382" s="1"/>
      <c r="N382" s="1"/>
    </row>
    <row r="383" spans="2:14">
      <c r="B383" s="1"/>
      <c r="C383" s="1"/>
      <c r="D383" s="1"/>
      <c r="E383" s="1"/>
      <c r="F383" s="1"/>
      <c r="G383" s="1"/>
      <c r="H383" s="1"/>
      <c r="I383" s="1"/>
      <c r="J383" s="1"/>
      <c r="K383" s="1"/>
      <c r="L383" s="1"/>
      <c r="M383" s="1"/>
      <c r="N383" s="1"/>
    </row>
    <row r="384" spans="2:14">
      <c r="B384" s="1"/>
      <c r="C384" s="1"/>
      <c r="D384" s="1"/>
      <c r="E384" s="1"/>
      <c r="F384" s="1"/>
      <c r="G384" s="1"/>
      <c r="H384" s="1"/>
      <c r="I384" s="1"/>
      <c r="J384" s="1"/>
      <c r="K384" s="1"/>
      <c r="L384" s="1"/>
      <c r="M384" s="1"/>
      <c r="N384" s="1"/>
    </row>
    <row r="385" spans="2:14">
      <c r="B385" s="1"/>
      <c r="C385" s="1"/>
      <c r="D385" s="1"/>
      <c r="E385" s="1"/>
      <c r="F385" s="1"/>
      <c r="G385" s="1"/>
      <c r="H385" s="1"/>
      <c r="I385" s="1"/>
      <c r="J385" s="1"/>
      <c r="K385" s="1"/>
      <c r="L385" s="1"/>
      <c r="M385" s="1"/>
      <c r="N385" s="1"/>
    </row>
    <row r="386" spans="2:14">
      <c r="B386" s="1"/>
      <c r="C386" s="1"/>
      <c r="D386" s="1"/>
      <c r="E386" s="1"/>
      <c r="F386" s="1"/>
      <c r="G386" s="1"/>
      <c r="H386" s="1"/>
      <c r="I386" s="1"/>
      <c r="J386" s="1"/>
      <c r="K386" s="1"/>
      <c r="L386" s="1"/>
      <c r="M386" s="1"/>
      <c r="N386" s="1"/>
    </row>
    <row r="387" spans="2:14">
      <c r="B387" s="1"/>
      <c r="C387" s="1"/>
      <c r="D387" s="1"/>
      <c r="E387" s="1"/>
      <c r="F387" s="1"/>
      <c r="G387" s="1"/>
      <c r="H387" s="1"/>
      <c r="I387" s="1"/>
      <c r="J387" s="1"/>
      <c r="K387" s="1"/>
      <c r="L387" s="1"/>
      <c r="M387" s="1"/>
      <c r="N387" s="1"/>
    </row>
    <row r="388" spans="2:14">
      <c r="B388" s="1"/>
      <c r="C388" s="1"/>
      <c r="D388" s="1"/>
      <c r="E388" s="1"/>
      <c r="F388" s="1"/>
      <c r="G388" s="1"/>
      <c r="H388" s="1"/>
      <c r="I388" s="1"/>
      <c r="J388" s="1"/>
      <c r="K388" s="1"/>
      <c r="L388" s="1"/>
      <c r="M388" s="1"/>
      <c r="N388" s="1"/>
    </row>
    <row r="389" spans="2:14">
      <c r="B389" s="1"/>
      <c r="C389" s="1"/>
      <c r="D389" s="1"/>
      <c r="E389" s="1"/>
      <c r="F389" s="1"/>
      <c r="G389" s="1"/>
      <c r="H389" s="1"/>
      <c r="I389" s="1"/>
      <c r="J389" s="1"/>
      <c r="K389" s="1"/>
      <c r="L389" s="1"/>
      <c r="M389" s="1"/>
      <c r="N389" s="1"/>
    </row>
    <row r="390" spans="2:14">
      <c r="B390" s="1"/>
      <c r="C390" s="1"/>
      <c r="D390" s="1"/>
      <c r="E390" s="1"/>
      <c r="F390" s="1"/>
      <c r="G390" s="1"/>
      <c r="H390" s="1"/>
      <c r="I390" s="1"/>
      <c r="J390" s="1"/>
      <c r="K390" s="1"/>
      <c r="L390" s="1"/>
      <c r="M390" s="1"/>
      <c r="N390" s="1"/>
    </row>
    <row r="391" spans="2:14">
      <c r="B391" s="1"/>
      <c r="C391" s="1"/>
      <c r="D391" s="1"/>
      <c r="E391" s="1"/>
      <c r="F391" s="1"/>
      <c r="G391" s="1"/>
      <c r="H391" s="1"/>
      <c r="I391" s="1"/>
      <c r="J391" s="1"/>
      <c r="K391" s="1"/>
      <c r="L391" s="1"/>
      <c r="M391" s="1"/>
      <c r="N391" s="1"/>
    </row>
    <row r="392" spans="2:14">
      <c r="B392" s="1"/>
      <c r="C392" s="1"/>
      <c r="D392" s="1"/>
      <c r="E392" s="1"/>
      <c r="F392" s="1"/>
      <c r="G392" s="1"/>
      <c r="H392" s="1"/>
      <c r="I392" s="1"/>
      <c r="J392" s="1"/>
      <c r="K392" s="1"/>
      <c r="L392" s="1"/>
      <c r="M392" s="1"/>
      <c r="N392" s="1"/>
    </row>
    <row r="393" spans="2:14">
      <c r="B393" s="1"/>
      <c r="C393" s="1"/>
      <c r="D393" s="1"/>
      <c r="E393" s="1"/>
      <c r="F393" s="1"/>
      <c r="G393" s="1"/>
      <c r="H393" s="1"/>
      <c r="I393" s="1"/>
      <c r="J393" s="1"/>
      <c r="K393" s="1"/>
      <c r="L393" s="1"/>
      <c r="M393" s="1"/>
      <c r="N393" s="1"/>
    </row>
    <row r="394" spans="2:14">
      <c r="B394" s="1"/>
      <c r="C394" s="1"/>
      <c r="D394" s="1"/>
      <c r="E394" s="1"/>
      <c r="F394" s="1"/>
      <c r="G394" s="1"/>
      <c r="H394" s="1"/>
      <c r="I394" s="1"/>
      <c r="J394" s="1"/>
      <c r="K394" s="1"/>
      <c r="L394" s="1"/>
      <c r="M394" s="1"/>
      <c r="N394" s="1"/>
    </row>
    <row r="395" spans="2:14">
      <c r="B395" s="1"/>
      <c r="C395" s="1"/>
      <c r="D395" s="1"/>
      <c r="E395" s="1"/>
      <c r="F395" s="1"/>
      <c r="G395" s="1"/>
      <c r="H395" s="1"/>
      <c r="I395" s="1"/>
      <c r="J395" s="1"/>
      <c r="K395" s="1"/>
      <c r="L395" s="1"/>
      <c r="M395" s="1"/>
      <c r="N395" s="1"/>
    </row>
    <row r="396" spans="2:14">
      <c r="B396" s="1"/>
      <c r="C396" s="1"/>
      <c r="D396" s="1"/>
      <c r="E396" s="1"/>
      <c r="F396" s="1"/>
      <c r="G396" s="1"/>
      <c r="H396" s="1"/>
      <c r="I396" s="1"/>
      <c r="J396" s="1"/>
      <c r="K396" s="1"/>
      <c r="L396" s="1"/>
      <c r="M396" s="1"/>
      <c r="N396" s="1"/>
    </row>
    <row r="397" spans="2:14">
      <c r="B397" s="1"/>
      <c r="C397" s="1"/>
      <c r="D397" s="1"/>
      <c r="E397" s="1"/>
      <c r="F397" s="1"/>
      <c r="G397" s="1"/>
      <c r="H397" s="1"/>
      <c r="I397" s="1"/>
      <c r="J397" s="1"/>
      <c r="K397" s="1"/>
      <c r="L397" s="1"/>
      <c r="M397" s="1"/>
      <c r="N397" s="1"/>
    </row>
    <row r="398" spans="2:14">
      <c r="B398" s="1"/>
      <c r="C398" s="1"/>
      <c r="D398" s="1"/>
      <c r="E398" s="1"/>
      <c r="F398" s="1"/>
      <c r="G398" s="1"/>
      <c r="H398" s="1"/>
      <c r="I398" s="1"/>
      <c r="J398" s="1"/>
      <c r="K398" s="1"/>
      <c r="L398" s="1"/>
      <c r="M398" s="1"/>
      <c r="N398" s="1"/>
    </row>
    <row r="399" spans="2:14">
      <c r="B399" s="1"/>
      <c r="C399" s="1"/>
      <c r="D399" s="1"/>
      <c r="E399" s="1"/>
      <c r="F399" s="1"/>
      <c r="G399" s="1"/>
      <c r="H399" s="1"/>
      <c r="I399" s="1"/>
      <c r="J399" s="1"/>
      <c r="K399" s="1"/>
      <c r="L399" s="1"/>
      <c r="M399" s="1"/>
      <c r="N399" s="1"/>
    </row>
    <row r="400" spans="2:14">
      <c r="B400" s="1"/>
      <c r="C400" s="1"/>
      <c r="D400" s="1"/>
      <c r="E400" s="1"/>
      <c r="F400" s="1"/>
      <c r="G400" s="1"/>
      <c r="H400" s="1"/>
      <c r="I400" s="1"/>
      <c r="J400" s="1"/>
      <c r="K400" s="1"/>
      <c r="L400" s="1"/>
      <c r="M400" s="1"/>
      <c r="N400" s="1"/>
    </row>
  </sheetData>
  <mergeCells count="19">
    <mergeCell ref="B234:N234"/>
    <mergeCell ref="B249:N249"/>
    <mergeCell ref="C251:D251"/>
    <mergeCell ref="B259:N259"/>
    <mergeCell ref="B194:N194"/>
    <mergeCell ref="C203:N203"/>
    <mergeCell ref="B205:N205"/>
    <mergeCell ref="C217:N218"/>
    <mergeCell ref="B220:N220"/>
    <mergeCell ref="B72:N72"/>
    <mergeCell ref="B108:N108"/>
    <mergeCell ref="B140:N140"/>
    <mergeCell ref="B164:N164"/>
    <mergeCell ref="B176:N176"/>
    <mergeCell ref="B2:N2"/>
    <mergeCell ref="B3:N3"/>
    <mergeCell ref="B9:N9"/>
    <mergeCell ref="B33:N33"/>
    <mergeCell ref="B49:N49"/>
  </mergeCells>
  <conditionalFormatting sqref="E252:I256">
    <cfRule type="colorScale" priority="1">
      <colorScale>
        <cfvo type="min"/>
        <cfvo type="percentile" val="50"/>
        <cfvo type="max"/>
        <color rgb="FFFCE8E6"/>
        <color rgb="FFF6E7C1"/>
        <color rgb="FFDCEFEA"/>
      </colorScale>
    </cfRule>
  </conditionalFormatting>
  <conditionalFormatting sqref="J172:N172">
    <cfRule type="containsText" dxfId="1" priority="2" operator="containsText" text="OK"/>
    <cfRule type="containsText" dxfId="0" priority="3" operator="containsText" text="CHECK"/>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Dashboard</vt:lpstr>
      <vt:lpstr>Inputs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Dany</dc:creator>
  <cp:lastModifiedBy>daniel sibanda</cp:lastModifiedBy>
  <dcterms:created xsi:type="dcterms:W3CDTF">2026-08-23T02:41:58Z</dcterms:created>
  <dcterms:modified xsi:type="dcterms:W3CDTF">2026-08-23T02:41:58Z</dcterms:modified>
</cp:coreProperties>
</file>